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ocumenttasks/documenttask1.xml" ContentType="application/vnd.ms-excel.documenttasks+xml"/>
  <Override PartName="/xl/drawings/drawing1.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ocumenttasks/documenttask2.xml" ContentType="application/vnd.ms-excel.documenttask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mc:AlternateContent xmlns:mc="http://schemas.openxmlformats.org/markup-compatibility/2006">
    <mc:Choice Requires="x15">
      <x15ac:absPath xmlns:x15ac="http://schemas.microsoft.com/office/spreadsheetml/2010/11/ac" url="https://myfedex.sharepoint.com/teams/GEMINIGlobalTeam/Shared Documents/General/Business Rule Requirements/"/>
    </mc:Choice>
  </mc:AlternateContent>
  <xr:revisionPtr revIDLastSave="10809" documentId="8_{C08D9601-8A1B-454F-A78A-4D0393808E35}" xr6:coauthVersionLast="47" xr6:coauthVersionMax="47" xr10:uidLastSave="{278090EA-81C0-4CF4-8DF2-9E17DCF5CAD2}"/>
  <bookViews>
    <workbookView xWindow="28680" yWindow="345" windowWidth="29040" windowHeight="15720" tabRatio="922" firstSheet="25" activeTab="26" xr2:uid="{3E070C89-39B3-4859-8EA4-80C156E8179D}"/>
  </bookViews>
  <sheets>
    <sheet name="Table Legend" sheetId="2" r:id="rId1"/>
    <sheet name="Rule Version History" sheetId="27" r:id="rId2"/>
    <sheet name="Event Acceptance" sheetId="28" r:id="rId3"/>
    <sheet name="Clearance Location" sheetId="3" r:id="rId4"/>
    <sheet name="Priority Score" sheetId="21" r:id="rId5"/>
    <sheet name="Workflow Task Type" sheetId="31" r:id="rId6"/>
    <sheet name="Evaluate IncoTerm" sheetId="35" r:id="rId7"/>
    <sheet name="Process Tags" sheetId="26" r:id="rId8"/>
    <sheet name="Value Tags" sheetId="8" r:id="rId9"/>
    <sheet name="Submission Tags" sheetId="13" r:id="rId10"/>
    <sheet name="Event Acceptance-TBD" sheetId="22" state="hidden" r:id="rId11"/>
    <sheet name="Evaluate Declaration Validation" sheetId="15" r:id="rId12"/>
    <sheet name="Check Manifest Data" sheetId="23" r:id="rId13"/>
    <sheet name="Movement Tags" sheetId="19" state="hidden" r:id="rId14"/>
    <sheet name="Workflow Declaration Summary" sheetId="32" r:id="rId15"/>
    <sheet name="Evaluate Submission Requirement" sheetId="36" r:id="rId16"/>
    <sheet name="Post Submission Clearance Statu" sheetId="5" r:id="rId17"/>
    <sheet name="Identify Sort Intercepts" sheetId="7" r:id="rId18"/>
    <sheet name="Rounding Config" sheetId="25" state="hidden" r:id="rId19"/>
    <sheet name="Commodity Tags" sheetId="1" state="hidden" r:id="rId20"/>
    <sheet name="Submission Sub Type" sheetId="11" state="hidden" r:id="rId21"/>
    <sheet name="Customer Contact Timer" sheetId="18" state="hidden" r:id="rId22"/>
    <sheet name="Post Submission System Update" sheetId="4" r:id="rId23"/>
    <sheet name="Identify Scan to Publish" sheetId="6" r:id="rId24"/>
    <sheet name="Evaluate Customs Obligation Fee" sheetId="30" r:id="rId25"/>
    <sheet name="Determine Duty &amp; Tax Overide" sheetId="37" r:id="rId26"/>
    <sheet name="Calculate Commodity Lines" sheetId="38" r:id="rId27"/>
    <sheet name="Identify Exception Actions" sheetId="40" r:id="rId28"/>
    <sheet name="Identify Exit Location" sheetId="41" r:id="rId29"/>
    <sheet name="Check Dec Time Limits" sheetId="42" r:id="rId30"/>
    <sheet name="Check Dec Clr Status" sheetId="43" r:id="rId31"/>
    <sheet name="Post Submission User Task" sheetId="44" r:id="rId32"/>
    <sheet name="Evaluate Declaration Readiness" sheetId="45" r:id="rId33"/>
    <sheet name="Calculate Insurance Header" sheetId="46" r:id="rId34"/>
    <sheet name="Calculate Insurance Header Inv" sheetId="39" r:id="rId35"/>
  </sheets>
  <definedNames>
    <definedName name="_xlnm._FilterDatabase" localSheetId="15" hidden="1">'Evaluate Submission Requirement'!$B$11:$G$73</definedName>
    <definedName name="_xlnm._FilterDatabase" localSheetId="16" hidden="1">'Post Submission Clearance Statu'!$C$69:$J$107</definedName>
    <definedName name="_xlnm._FilterDatabase" localSheetId="31" hidden="1">'Post Submission User Task'!$B$19:$C$35</definedName>
    <definedName name="_xlnm._FilterDatabase" localSheetId="1" hidden="1">'Rule Version History'!$A$1:$E$30</definedName>
    <definedName name="_xlnm._FilterDatabase" localSheetId="0" hidden="1">'Table Legend'!$A$1:$K$28</definedName>
    <definedName name="Clearance_Location_Configuration">#REF!</definedName>
    <definedName name="Commodity_Group">#REF!</definedName>
    <definedName name="Country_Master">#REF!</definedName>
    <definedName name="Create_Rule_Type">#REF!</definedName>
    <definedName name="Cust_Cont_Reason_Code">#REF!</definedName>
    <definedName name="IncoTerm_Master">#REF!</definedName>
    <definedName name="ListNames">REPLACE(GET.WORKBOOK(1),1,FIND("]",GET.WORKBOOK(1)),"")</definedName>
    <definedName name="Location_Contact_Configuration">#REF!</definedName>
    <definedName name="Sort_Code">#REF!</definedName>
    <definedName name="Sort_Code_Type">#REF!</definedName>
    <definedName name="sr">#REF!</definedName>
    <definedName name="test">#REF!</definedName>
    <definedName name="Warehouse_Cod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3" i="4" l="1"/>
  <c r="H53" i="4"/>
  <c r="I53" i="4"/>
  <c r="J53" i="4"/>
  <c r="F53" i="4"/>
  <c r="G52" i="4"/>
  <c r="H52" i="4"/>
  <c r="I52" i="4"/>
  <c r="J52" i="4"/>
  <c r="F52" i="4"/>
  <c r="G51" i="4"/>
  <c r="H51" i="4"/>
  <c r="I51" i="4"/>
  <c r="J51" i="4"/>
  <c r="F51" i="4"/>
  <c r="M33" i="19"/>
  <c r="M34" i="19"/>
  <c r="M35" i="19"/>
  <c r="M40" i="19"/>
  <c r="M41" i="19"/>
  <c r="M42" i="19"/>
  <c r="M43" i="19"/>
  <c r="M44" i="19"/>
  <c r="M45" i="19"/>
  <c r="M46" i="19"/>
  <c r="M47" i="19"/>
  <c r="M48" i="19"/>
  <c r="M49" i="19"/>
  <c r="M50" i="19"/>
  <c r="M51" i="19"/>
  <c r="M52" i="19"/>
  <c r="M59" i="19"/>
  <c r="M60" i="19"/>
  <c r="M61" i="19"/>
  <c r="M13" i="19"/>
  <c r="M14" i="19"/>
  <c r="M15" i="19"/>
  <c r="M16" i="19"/>
  <c r="M17" i="19"/>
  <c r="M18" i="19"/>
  <c r="M19" i="19"/>
  <c r="M20" i="19"/>
  <c r="M21" i="19"/>
  <c r="M22" i="19"/>
  <c r="M23" i="19"/>
  <c r="M24" i="19"/>
  <c r="M2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tc={FBCD495C-0E0A-430B-B1CA-4B9A93D64181}</author>
  </authors>
  <commentList>
    <comment ref="C3" authorId="0" shapeId="0" xr:uid="{FBCD495C-0E0A-430B-B1CA-4B9A93D64181}">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@Pedro Pacheco and @Susan Rowland  considering the nature of GEP change codes, we may have more than one condition matches at the same time. Example: when a declaration is in UNWORKED status I may get change code SHP_INFO and SHP_UNIT_SCAN. Where the first one mapped to DATA and the second mapped to MOVEMENT. I think we need to collect the FIRST output instead of Unique. This way whenever I have DATA matched first, I will ignore the output for MOVEMENT as DATA takes care of both in the workflow</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tc={45170488-531C-44EE-8514-53489EA4AF66}</author>
    <author>tc={FBBEDE4B-E76A-4466-A6C9-D314C0819E8D}</author>
    <author>tc={4FB11EC4-50A6-42C1-86FD-912E8DF7DD83}</author>
    <author>tc={C9D0BAB5-CBB0-43C8-8488-C03C0D91CDA6}</author>
  </authors>
  <commentList>
    <comment ref="N43" authorId="0" shapeId="0" xr:uid="{45170488-531C-44EE-8514-53489EA4AF66}">
      <text>
        <t>[Threaded comment]
Your version of Excel allows you to read this threaded comment; however, any edits to it will get removed if the file is opened in a newer version of Excel. Learn more: https://go.microsoft.com/fwlink/?linkid=870924
Comment:
    Truck from LGG</t>
      </text>
    </comment>
    <comment ref="N44" authorId="1" shapeId="0" xr:uid="{FBBEDE4B-E76A-4466-A6C9-D314C0819E8D}">
      <text>
        <t>[Threaded comment]
Your version of Excel allows you to read this threaded comment; however, any edits to it will get removed if the file is opened in a newer version of Excel. Learn more: https://go.microsoft.com/fwlink/?linkid=870924
Comment:
    Truck from CDG</t>
      </text>
    </comment>
    <comment ref="O45" authorId="2" shapeId="0" xr:uid="{4FB11EC4-50A6-42C1-86FD-912E8DF7DD83}">
      <text>
        <t xml:space="preserve">[Threaded comment]
Your version of Excel allows you to read this threaded comment; however, any edits to it will get removed if the file is opened in a newer version of Excel. Learn more: https://go.microsoft.com/fwlink/?linkid=870924
Comment:
    Route from LGG
</t>
      </text>
    </comment>
    <comment ref="O46" authorId="3" shapeId="0" xr:uid="{C9D0BAB5-CBB0-43C8-8488-C03C0D91CDA6}">
      <text>
        <t>[Threaded comment]
Your version of Excel allows you to read this threaded comment; however, any edits to it will get removed if the file is opened in a newer version of Excel. Learn more: https://go.microsoft.com/fwlink/?linkid=870924
Comment:
    Route from CDG</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tc={06858125-BD33-4BF8-A11C-05D8A23174B8}</author>
  </authors>
  <commentList>
    <comment ref="C3" authorId="0" shapeId="0" xr:uid="{06858125-BD33-4BF8-A11C-05D8A23174B8}">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@Pedro Pacheco and @Susan Rowland  considering the nature of GEP change codes, we may have more than one condition matches at the same time. Example: when a declaration is in UNWORKED status I may get change code SHP_INFO and SHP_UNIT_SCAN. Where the first one mapped to DATA and the second mapped to MOVEMENT. I think we need to collect the FIRST output instead of Unique. This way whenever I have DATA matched first, I will ignore the output for MOVEMENT as DATA takes care of both in the workflow</t>
      </text>
    </comment>
  </commentList>
</comments>
</file>

<file path=xl/sharedStrings.xml><?xml version="1.0" encoding="utf-8"?>
<sst xmlns="http://schemas.openxmlformats.org/spreadsheetml/2006/main" count="4098" uniqueCount="1010">
  <si>
    <t>Import Process Flow Ref</t>
  </si>
  <si>
    <t>Export Process Flow Ref</t>
  </si>
  <si>
    <t>Process Name</t>
  </si>
  <si>
    <t>Business Function</t>
  </si>
  <si>
    <t>Process Point</t>
  </si>
  <si>
    <t xml:space="preserve">Business Purpose </t>
  </si>
  <si>
    <t>Table Structure Status (SIT)</t>
  </si>
  <si>
    <t>LU Rqmt Captured</t>
  </si>
  <si>
    <t>CR Rqmt Captured</t>
  </si>
  <si>
    <t>Comments</t>
  </si>
  <si>
    <t>LU Comments</t>
  </si>
  <si>
    <t>EXPXX</t>
  </si>
  <si>
    <t>Data Acceptance Process</t>
  </si>
  <si>
    <t xml:space="preserve">Identify Exit Location </t>
  </si>
  <si>
    <t xml:space="preserve">Identify Exit Locaton </t>
  </si>
  <si>
    <t xml:space="preserve">Identify the country in which a shipment exits from a specific region or territory for export shipments </t>
  </si>
  <si>
    <t>Follow Up</t>
  </si>
  <si>
    <t>IMP01</t>
  </si>
  <si>
    <t>Check Event Acceptance</t>
  </si>
  <si>
    <t>Rules to make a decision if an event that has been receved within GEP for a shipment data update or shipment movement update can be accepted or not by considering the clearance status of the shipment</t>
  </si>
  <si>
    <t>Complete</t>
  </si>
  <si>
    <t>One line requires confirmatino for CR in orange</t>
  </si>
  <si>
    <t>IMP01 / IMP07</t>
  </si>
  <si>
    <t xml:space="preserve">Data Acceptance Process / Import Declaration Evaluation Process </t>
  </si>
  <si>
    <t xml:space="preserve">Calculate Shipment Priority </t>
  </si>
  <si>
    <t>Rules to identify the priority score of a given shipment in order to prioritise the shipment for the  user and associated tasks</t>
  </si>
  <si>
    <t>IMP01 / IMP20</t>
  </si>
  <si>
    <t>Data Acceptance Process / Movement Scan Updates</t>
  </si>
  <si>
    <t>Check Manifest Data</t>
  </si>
  <si>
    <t xml:space="preserve">Rules to identify the clearance location in a given country </t>
  </si>
  <si>
    <t>Susan to doble check with G1.0 rules</t>
  </si>
  <si>
    <t>IMP03</t>
  </si>
  <si>
    <t>Full Declaration Process</t>
  </si>
  <si>
    <t>Workflow Task Type</t>
  </si>
  <si>
    <t>Determine Task Type</t>
  </si>
  <si>
    <t>This business function will enable business to maintain a decision point as to when certain tasks should be split. Example certain markets may want Header seperated from Commodity, whilst others may want 1 task for Header/Commodity combined.</t>
  </si>
  <si>
    <t>Workflow Declaration Summary Requirement</t>
  </si>
  <si>
    <t>Determine Declaration Summary Task Requirement</t>
  </si>
  <si>
    <t xml:space="preserve">This business function will enable business to maintain a decision point to configure the circumstances when a Review Declaration Summary user task is required (or can be skipped). </t>
  </si>
  <si>
    <t>Pending</t>
  </si>
  <si>
    <t>Evaluate IncoTerm</t>
  </si>
  <si>
    <t>Evaluate Rule to Match DT Bill-To-Code (Shipper/Consignee/Others) With Incoterm Chosen and returns valid/invalid response</t>
  </si>
  <si>
    <t>Calculate Entry Form</t>
  </si>
  <si>
    <t>Calculate Commodity Lines</t>
  </si>
  <si>
    <t>The purpose of this Rule is to calculate Commodity line level values using the Country Proration method and values from the Header level. This rule will be managed by IT supported by the business teams</t>
  </si>
  <si>
    <t>Calculate Insurance Header</t>
  </si>
  <si>
    <t>Required for CR only the purpose of this rule is to calculate the insurance at header level</t>
  </si>
  <si>
    <t>Not Required</t>
  </si>
  <si>
    <t>IMP03 / IMP09</t>
  </si>
  <si>
    <t>Full Declaration Process / Prepared Declaration Staging Process</t>
  </si>
  <si>
    <t>Evaluate Submission Requirements</t>
  </si>
  <si>
    <t>Identifies which message needs to be submitted to customs when EDI Integration process is triggered</t>
  </si>
  <si>
    <t>To include in Master Table NEW Submission action lines</t>
  </si>
  <si>
    <t>IMP07</t>
  </si>
  <si>
    <t>Import Declaration Evaluation Process</t>
  </si>
  <si>
    <t>Identify Tags</t>
  </si>
  <si>
    <t>Identify Value Tags</t>
  </si>
  <si>
    <t xml:space="preserve">Rules to apply a tag to shipments hased on a given value </t>
  </si>
  <si>
    <t>Require confirmation on values
Complete 10/14 for CR.  Low value &lt;$1000 USD, High value &gt;=$1000</t>
  </si>
  <si>
    <t>Identify Submission Tags</t>
  </si>
  <si>
    <t xml:space="preserve">Submission tag type will be used to identify the type of submission sent to customs/regulatory authorities </t>
  </si>
  <si>
    <t>After new conf tables defined for Brok type and Customer profile tupe, Column E should call out to Custmer Profile type</t>
  </si>
  <si>
    <t>Identify Process Tags</t>
  </si>
  <si>
    <t>Process tag type will be used to identify the Camunda process/workflow that a shipment will fall under</t>
  </si>
  <si>
    <t>Evaluate shipments identified as DOC submissions that may require a user task to check if they are correctly identified as DOC. Find specific attributes of a shipment that may need to be considered by a user to make a decision on whether the shipment can continue in the workflow process its intended or whether it needs to be updated to move to another workflow process. Example failure of sanity check on a document user may decide to promote it to a formal process</t>
  </si>
  <si>
    <t xml:space="preserve">Only docs captured for LU are there any other manifest checks. </t>
  </si>
  <si>
    <t>IMP08</t>
  </si>
  <si>
    <t>Determine EDT</t>
  </si>
  <si>
    <t>Evaluate Customs Obligation Fee</t>
  </si>
  <si>
    <t>Evaluates Customs Obligation Fee based on various attributes (Country, Clearance Procedure, Process Tag, Submission Tag )  and makes decision to skip EDT calculations of a declaration record.</t>
  </si>
  <si>
    <t xml:space="preserve">Run EDT Calculation </t>
  </si>
  <si>
    <t>Determine Duty or Tax Overrides</t>
  </si>
  <si>
    <t>To determine if a Tax Type is overriden for a particular set of parameters</t>
  </si>
  <si>
    <t>IMP09</t>
  </si>
  <si>
    <t>Prepared Declaration Staging Process</t>
  </si>
  <si>
    <t>Evaluate Declaration Staging Process</t>
  </si>
  <si>
    <t>Evaluate Declaration Readiness</t>
  </si>
  <si>
    <t>To allow markets that require manfiest to be submitted to hold</t>
  </si>
  <si>
    <t>IMP10</t>
  </si>
  <si>
    <t>Post Submission Declaration Handling</t>
  </si>
  <si>
    <t>Identify Sort Intercepts</t>
  </si>
  <si>
    <t>To identify what information we need to post to the sort based on the clearance status</t>
  </si>
  <si>
    <t>Update Systems Post Submission</t>
  </si>
  <si>
    <t xml:space="preserve">To determine which downstream systems we need to update when a customs response is received </t>
  </si>
  <si>
    <t xml:space="preserve">To include in Country Config table Sort Code the value "STAGE TDOC" </t>
  </si>
  <si>
    <t>Identify Scan to Publish</t>
  </si>
  <si>
    <t>Identify scans and/or comments to post to EOPS</t>
  </si>
  <si>
    <t>Release status is missing from Country Config table Clearance Status</t>
  </si>
  <si>
    <t>Determine Clearance Status Post Submission</t>
  </si>
  <si>
    <t>Pending EDI Analysis</t>
  </si>
  <si>
    <t>Table under Review while completing</t>
  </si>
  <si>
    <t xml:space="preserve">Post Submission User Task </t>
  </si>
  <si>
    <t>Identifies the attributes to be taken out of a response message from customs in order to inform the user and what actions are required to be presented next</t>
  </si>
  <si>
    <t>IMP11</t>
  </si>
  <si>
    <t>Declaration Follow Up Process</t>
  </si>
  <si>
    <t>Definition of Declaration Time Limits</t>
  </si>
  <si>
    <t>This business function will enable business to maintain a decision point as to under which circunstances a declaration will require some follow up</t>
  </si>
  <si>
    <t>Check Declaration Clearance Status</t>
  </si>
  <si>
    <t xml:space="preserve">This business function will enable business to maintain a decision point as to under which circunstances transit follow-up process needs to be triggered or not </t>
  </si>
  <si>
    <t>IMP15</t>
  </si>
  <si>
    <t>Adhoc Task Creation Process</t>
  </si>
  <si>
    <t>Identify Available Actions</t>
  </si>
  <si>
    <t>Identify Available Exception Actions</t>
  </si>
  <si>
    <t>Determine which exception action(s) are available/displayed along with workflow path for the exception to users in Handle Exception Task user task</t>
  </si>
  <si>
    <t>Complete ?</t>
  </si>
  <si>
    <t xml:space="preserve">in GCC SIT Worflow is mapped to predefined values it should map to master config table for same </t>
  </si>
  <si>
    <t>Evaluate Declaration Validation</t>
  </si>
  <si>
    <t>To identify if a declaration requires a validation (PST Check) from a second user before considering entry prepared for customs submission</t>
  </si>
  <si>
    <t>Identify IATA Location</t>
  </si>
  <si>
    <t>The purpose of this rules  is to MAP LSSI locations to IATA</t>
  </si>
  <si>
    <t>New Rules for Manifest Change Pending</t>
  </si>
  <si>
    <t>EDI Integration Process</t>
  </si>
  <si>
    <t>Evaluate Declaration for Processing</t>
  </si>
  <si>
    <t>Rule Name</t>
  </si>
  <si>
    <t>Date of Change</t>
  </si>
  <si>
    <t>Updated Name</t>
  </si>
  <si>
    <t>Updated ID</t>
  </si>
  <si>
    <t>Changes Made</t>
  </si>
  <si>
    <t>Submission Tags</t>
  </si>
  <si>
    <t>Susan Rowland</t>
  </si>
  <si>
    <t>Changed BSO flag to Handling code as a result of email from Raj on data governance 07/10 where its noted that they want to get away from relying on flags in the declaration, and instead use special handling codes to determine if BSO applies to the shipment.</t>
  </si>
  <si>
    <t>Priority Score</t>
  </si>
  <si>
    <t>18 October 2024</t>
  </si>
  <si>
    <t>Pedro Pacheco</t>
  </si>
  <si>
    <t>Added Submission Tag to inputs of Priority Score rule. Parameter needed to properly prioritize declarations</t>
  </si>
  <si>
    <t>Added new rule required for CR to manage customs obligation fee which is a $3 tax per declaration type</t>
  </si>
  <si>
    <t>Post Submission Clearance Status</t>
  </si>
  <si>
    <t>Output Parameter "Alerts" will be removed from this rule we will manage this in the new country configuration table "Customs Response User Alert"</t>
  </si>
  <si>
    <t>Hid the Input columns that will not be used in this rule, this rule was handed over with additional LU EDI tables to team as it was never built for CR in GCC</t>
  </si>
  <si>
    <t>Task Type</t>
  </si>
  <si>
    <t>Added new rule for Task Type approved from demand process</t>
  </si>
  <si>
    <t>Added new rule for Workflow Declaration Summary approved from demand process</t>
  </si>
  <si>
    <t>Process Tags</t>
  </si>
  <si>
    <t>Added new rule for Definition of Declaration Time Limits approved from demand process</t>
  </si>
  <si>
    <t>Added new rule for Check Declaration Status approved from demand process</t>
  </si>
  <si>
    <t>Check Declaration Time Limits</t>
  </si>
  <si>
    <t>Added new rule for Check Declaration Clearance Status approved from demand process</t>
  </si>
  <si>
    <t>Evaluate Inco Term</t>
  </si>
  <si>
    <t>Added new rule for Evaluation of Inco Terms</t>
  </si>
  <si>
    <t>Added 3 new input col to Priority Score Mode of Transport / Conveyance Number / Route Number</t>
  </si>
  <si>
    <t>Message Type parameter updated from free text to map back to new country table for Message Type as the source</t>
  </si>
  <si>
    <t xml:space="preserve">Evaluate Submission Requirment </t>
  </si>
  <si>
    <t>Moved rule to Master worksheet for Manifest</t>
  </si>
  <si>
    <t>New rule approved under GCC demand</t>
  </si>
  <si>
    <t>Calculate Insurance Header Invoice</t>
  </si>
  <si>
    <t>Tab updated to red as it will be replaced by Calculate Insurance Header Rule</t>
  </si>
  <si>
    <t>Post Submission System Update</t>
  </si>
  <si>
    <t xml:space="preserve">Added new outputs to manage configuration for archiving </t>
  </si>
  <si>
    <t>Post Submission User Task</t>
  </si>
  <si>
    <t>Caclulate Insurance Header</t>
  </si>
  <si>
    <t>This rule will replace Calculate Insurance Header Invoice due to change in requirements identified for CR where insurance needs to be calculated for the shipment and not for each invoice</t>
  </si>
  <si>
    <t>Evaluation Submission Requirement</t>
  </si>
  <si>
    <t xml:space="preserve">Added new input parameter for origin country </t>
  </si>
  <si>
    <t>Added new input parameter for contact status , commodity tag, customer profile type</t>
  </si>
  <si>
    <t xml:space="preserve">Added new output parameter to support Manifest workflow - Block Declaration </t>
  </si>
  <si>
    <t xml:space="preserve">Added new input parameter Doc Flag, Declaration Gross Weight </t>
  </si>
  <si>
    <t>Added new input parameters Submission Tag, CPC, Customer Profile Brokergae Type,  Customer Profile Status , Total Customs Value</t>
  </si>
  <si>
    <t>Added 3 new input parameters for CSTAT shipments goods classification code / origin region and origin country</t>
  </si>
  <si>
    <t>Process Point:</t>
  </si>
  <si>
    <t>Hit policy:</t>
  </si>
  <si>
    <t xml:space="preserve">Unique  </t>
  </si>
  <si>
    <t>Only one possible combination of event/data type and clearance status can be true</t>
  </si>
  <si>
    <t>Business Purpose</t>
  </si>
  <si>
    <t>Rule Parameters</t>
  </si>
  <si>
    <t>Input</t>
  </si>
  <si>
    <t>UI Description</t>
  </si>
  <si>
    <t>Event Type</t>
  </si>
  <si>
    <t>Clearance Status</t>
  </si>
  <si>
    <t>Accept Event</t>
  </si>
  <si>
    <t xml:space="preserve">Meta Model Value </t>
  </si>
  <si>
    <t>(Must be Added)</t>
  </si>
  <si>
    <t>Data Type</t>
  </si>
  <si>
    <t>String</t>
  </si>
  <si>
    <t>ENUM</t>
  </si>
  <si>
    <t>Table Type</t>
  </si>
  <si>
    <t>Master</t>
  </si>
  <si>
    <t xml:space="preserve">Country Configuration </t>
  </si>
  <si>
    <t>N/A</t>
  </si>
  <si>
    <t>Line #</t>
  </si>
  <si>
    <t>Data Source</t>
  </si>
  <si>
    <t>Drop down value from country config "Clearance Status" table</t>
  </si>
  <si>
    <t>Need to come from a master "TBD" table</t>
  </si>
  <si>
    <t>Luxembourg Requirement</t>
  </si>
  <si>
    <t>SHIPMENT</t>
  </si>
  <si>
    <t>UNWORKED</t>
  </si>
  <si>
    <t>UPDATE_DECLARATION</t>
  </si>
  <si>
    <t>!=UNWORKED</t>
  </si>
  <si>
    <t>DECLINE</t>
  </si>
  <si>
    <t>SCAN</t>
  </si>
  <si>
    <t>CLEARED</t>
  </si>
  <si>
    <t>!=CLEARED</t>
  </si>
  <si>
    <t>UPDATE_MOVEMENT_SCANS</t>
  </si>
  <si>
    <t>BOTH</t>
  </si>
  <si>
    <t>!=UNWORKED &amp;&amp; !=CLEARED</t>
  </si>
  <si>
    <t>Costa Rica Requirement</t>
  </si>
  <si>
    <t>Assuming this is easy to change day 1 we will keep FALSE.  May Changed to TRUE if issues arrise - Curtis Ondrey</t>
  </si>
  <si>
    <t>Process</t>
  </si>
  <si>
    <t>IMP01 - Data Acceptance Process</t>
  </si>
  <si>
    <t>Identify Clearance Location</t>
  </si>
  <si>
    <t>Unique</t>
  </si>
  <si>
    <t>Output</t>
  </si>
  <si>
    <t>Destination Country</t>
  </si>
  <si>
    <t xml:space="preserve">Destination Location </t>
  </si>
  <si>
    <t>Base Service Type</t>
  </si>
  <si>
    <t>Service Group</t>
  </si>
  <si>
    <t>Clearance Country</t>
  </si>
  <si>
    <t xml:space="preserve">Clearance Location </t>
  </si>
  <si>
    <t xml:space="preserve">String </t>
  </si>
  <si>
    <t>LOOKUP Master</t>
  </si>
  <si>
    <t>Drop down value from Master "Country Table"</t>
  </si>
  <si>
    <t xml:space="preserve">Free Text  </t>
  </si>
  <si>
    <t>Drop Down Value from the Master "Service Type" Table</t>
  </si>
  <si>
    <t xml:space="preserve">Drop Down Value from Master "Clearance Location" Table. </t>
  </si>
  <si>
    <t>LU</t>
  </si>
  <si>
    <t>LUX</t>
  </si>
  <si>
    <t>CR</t>
  </si>
  <si>
    <t>SJO</t>
  </si>
  <si>
    <t>Collect Sum</t>
  </si>
  <si>
    <t>E-530521 Add New Inputs</t>
  </si>
  <si>
    <t>E-530773 Add New Inputs</t>
  </si>
  <si>
    <t xml:space="preserve">Output </t>
  </si>
  <si>
    <t>Process Tag</t>
  </si>
  <si>
    <t>Submission Tag</t>
  </si>
  <si>
    <t>Movement Tag</t>
  </si>
  <si>
    <t>Commodity Count</t>
  </si>
  <si>
    <t>Piece Count</t>
  </si>
  <si>
    <t xml:space="preserve">Document Available </t>
  </si>
  <si>
    <t>Brokerage Type</t>
  </si>
  <si>
    <t>Handling Codes</t>
  </si>
  <si>
    <t>Origin Country</t>
  </si>
  <si>
    <t>Mode of Transport</t>
  </si>
  <si>
    <t>Conveyance Number</t>
  </si>
  <si>
    <t>Route Number</t>
  </si>
  <si>
    <t>Contact Status</t>
  </si>
  <si>
    <t>Commodity Tag</t>
  </si>
  <si>
    <t>Customer Profile Type</t>
  </si>
  <si>
    <t>Integer</t>
  </si>
  <si>
    <t>Source Table Type</t>
  </si>
  <si>
    <t>Country</t>
  </si>
  <si>
    <t>Boolean</t>
  </si>
  <si>
    <t>Free Text</t>
  </si>
  <si>
    <t>Country Configuration</t>
  </si>
  <si>
    <t xml:space="preserve">Master </t>
  </si>
  <si>
    <t xml:space="preserve">Shipment Tag (Process) </t>
  </si>
  <si>
    <t>Shipment Tag (Submission)</t>
  </si>
  <si>
    <t>Shipment Tag (Movement)</t>
  </si>
  <si>
    <t>ENUM Road / Air</t>
  </si>
  <si>
    <t>Show values from the "Customer Contact Status" table.</t>
  </si>
  <si>
    <t>Show values for Tag Type "Commodity" from the Shipment Tag table for the relevent clearance country</t>
  </si>
  <si>
    <t>Show values from the "Customer Type" table for the relevent clearance country</t>
  </si>
  <si>
    <t>Unworked</t>
  </si>
  <si>
    <t>Closed</t>
  </si>
  <si>
    <t>Contains Health</t>
  </si>
  <si>
    <t>In Progress</t>
  </si>
  <si>
    <t>Failed</t>
  </si>
  <si>
    <t>Hospital</t>
  </si>
  <si>
    <t>Prepared</t>
  </si>
  <si>
    <t>Submitted</t>
  </si>
  <si>
    <t xml:space="preserve"> </t>
  </si>
  <si>
    <t>Registered</t>
  </si>
  <si>
    <t>Paperwork Exam</t>
  </si>
  <si>
    <t>Physical Exam</t>
  </si>
  <si>
    <t>Rejected</t>
  </si>
  <si>
    <t>Accepted</t>
  </si>
  <si>
    <t>Cancelled</t>
  </si>
  <si>
    <t>Exception</t>
  </si>
  <si>
    <t>Cleared</t>
  </si>
  <si>
    <t>Not Released</t>
  </si>
  <si>
    <t>&gt;1 AND  &lt;=9</t>
  </si>
  <si>
    <t>&gt;9</t>
  </si>
  <si>
    <t>Full</t>
  </si>
  <si>
    <t xml:space="preserve">BSO </t>
  </si>
  <si>
    <t>Non-GEMINI</t>
  </si>
  <si>
    <t>Picked Up</t>
  </si>
  <si>
    <t>In Transit</t>
  </si>
  <si>
    <t>Arriving</t>
  </si>
  <si>
    <t>Arrived</t>
  </si>
  <si>
    <t>Delivered</t>
  </si>
  <si>
    <t>&gt;1 = &lt;9</t>
  </si>
  <si>
    <t>CI</t>
  </si>
  <si>
    <t>037(PA+)</t>
  </si>
  <si>
    <t>015(PA)</t>
  </si>
  <si>
    <t>Road</t>
  </si>
  <si>
    <t>*Dummy data for Feature testing</t>
  </si>
  <si>
    <t>T4482</t>
  </si>
  <si>
    <t>T7975</t>
  </si>
  <si>
    <t>TZ2263</t>
  </si>
  <si>
    <t>LU040</t>
  </si>
  <si>
    <t>FTZ</t>
  </si>
  <si>
    <t>FULL</t>
  </si>
  <si>
    <t>MANUAL</t>
  </si>
  <si>
    <t>NON-GEMINI</t>
  </si>
  <si>
    <t>2…9</t>
  </si>
  <si>
    <t>&gt;10</t>
  </si>
  <si>
    <t>PICKEDUP</t>
  </si>
  <si>
    <t>TRANSIT</t>
  </si>
  <si>
    <t>ARRIVING</t>
  </si>
  <si>
    <t>ARRIVED</t>
  </si>
  <si>
    <t>DELIVERED</t>
  </si>
  <si>
    <t>Collect</t>
  </si>
  <si>
    <t>Output Parameter</t>
  </si>
  <si>
    <t>Source Table</t>
  </si>
  <si>
    <t>Show values Tag Type "Movement" from the Shipment Tag table for the relevent clearance country</t>
  </si>
  <si>
    <t>Show Customer Profile Brokerage Type Table for the relevent clearance country</t>
  </si>
  <si>
    <t>Show values Tag Type "Submission" from the Shipment Tag table for the relevent clearance country</t>
  </si>
  <si>
    <t>Can we have this as a UI component that shows 2 values rather than building a supporting table for them ??</t>
  </si>
  <si>
    <t>PICKED UP</t>
  </si>
  <si>
    <t>Sequential Task</t>
  </si>
  <si>
    <t>SRDS</t>
  </si>
  <si>
    <t>IN TRANSIT</t>
  </si>
  <si>
    <t>Combined Task</t>
  </si>
  <si>
    <t>NCTS</t>
  </si>
  <si>
    <t>Evaluate Incoterm &amp; billToDutyTaxCode combination</t>
  </si>
  <si>
    <t>Ouptut</t>
  </si>
  <si>
    <t>Incoterm</t>
  </si>
  <si>
    <t>Bill To DutyTax Code</t>
  </si>
  <si>
    <t>Valid Status</t>
  </si>
  <si>
    <t>User Alert 
Alert to user on reason for failure</t>
  </si>
  <si>
    <t>declaration.incoterm</t>
  </si>
  <si>
    <t>declaration.billToDutyTaxCode</t>
  </si>
  <si>
    <t>string</t>
  </si>
  <si>
    <t>Drop down value from Master "Incoterm Table"</t>
  </si>
  <si>
    <t xml:space="preserve">Free Text </t>
  </si>
  <si>
    <t>Example requiremenet</t>
  </si>
  <si>
    <t>DDP</t>
  </si>
  <si>
    <t>C</t>
  </si>
  <si>
    <t>Invalid</t>
  </si>
  <si>
    <t>S</t>
  </si>
  <si>
    <t>Valid</t>
  </si>
  <si>
    <t>SubmissionTag</t>
  </si>
  <si>
    <t>ProcessTag</t>
  </si>
  <si>
    <t>Drop down from Country Configuration "Tag" table plus "Submission Tags" only</t>
  </si>
  <si>
    <t>Drop down from Country Configuration "Tag" table plus "Process Tags" only</t>
  </si>
  <si>
    <t>BSO</t>
  </si>
  <si>
    <t>AutoClear</t>
  </si>
  <si>
    <t>Manual</t>
  </si>
  <si>
    <t>CSTAT</t>
  </si>
  <si>
    <t>Shipment Local Value</t>
  </si>
  <si>
    <t>Value Tag</t>
  </si>
  <si>
    <t>declaration.localValue</t>
  </si>
  <si>
    <t>Float</t>
  </si>
  <si>
    <t>Drop down from Country Configuration "Shipment Tag" table plus "Value Tags" only</t>
  </si>
  <si>
    <t>&lt; or =150</t>
  </si>
  <si>
    <t>Low</t>
  </si>
  <si>
    <t>&gt;150</t>
  </si>
  <si>
    <t>High</t>
  </si>
  <si>
    <t>&lt; 1000</t>
  </si>
  <si>
    <t>&gt; or = 1000</t>
  </si>
  <si>
    <t>First</t>
  </si>
  <si>
    <t>New Input 09Oct</t>
  </si>
  <si>
    <t>ValueTag</t>
  </si>
  <si>
    <t>CommodityTag</t>
  </si>
  <si>
    <t>Handling Code</t>
  </si>
  <si>
    <t>DOC Flag
(This new input will look at whether the DOC flag is present for a shipment from SEP)</t>
  </si>
  <si>
    <t>Total Gross Weight Declaration.</t>
  </si>
  <si>
    <t>Goods Classification Code</t>
  </si>
  <si>
    <t>Origin Region (Note similar to Manifest Rules region EU would require look up of all EU region countries to meet the requirement for this rule)</t>
  </si>
  <si>
    <t xml:space="preserve">Boolean </t>
  </si>
  <si>
    <t xml:space="preserve">Numerical </t>
  </si>
  <si>
    <t>Master Table</t>
  </si>
  <si>
    <t>Drop down from Country Configuration "Tag" table plus "Value Tags" only</t>
  </si>
  <si>
    <t xml:space="preserve">Drop down from Country Configuration "Commodity Tag" table </t>
  </si>
  <si>
    <t>Should come from values available in Brokerage Type for Customer Profile</t>
  </si>
  <si>
    <t>Looks at whether the BSO flag is marked for a shipment from SEP</t>
  </si>
  <si>
    <t>Boolean True / False 
(True Doc Flag = Y / False Doc Flag = N)</t>
  </si>
  <si>
    <t>Contains (C, CF, CP or CS)</t>
  </si>
  <si>
    <t>EU</t>
  </si>
  <si>
    <t>equal("40")</t>
  </si>
  <si>
    <t>Note BSO will also be driven by customer profile</t>
  </si>
  <si>
    <t>contains(HS Exclusion, fda, excise...)</t>
  </si>
  <si>
    <t>contains(Document)</t>
  </si>
  <si>
    <t>Auto Clear</t>
  </si>
  <si>
    <t>contains(Contains Document)</t>
  </si>
  <si>
    <t>LOW</t>
  </si>
  <si>
    <t>HIGH</t>
  </si>
  <si>
    <t>Example Requeriment</t>
  </si>
  <si>
    <t>&gt; 2</t>
  </si>
  <si>
    <t>Informal</t>
  </si>
  <si>
    <t>Input Parameters</t>
  </si>
  <si>
    <t>Output Parameters</t>
  </si>
  <si>
    <t>"True" / "False"</t>
  </si>
  <si>
    <t>data</t>
  </si>
  <si>
    <t>unworked</t>
  </si>
  <si>
    <t>in progress</t>
  </si>
  <si>
    <t>prepared</t>
  </si>
  <si>
    <t>rejected</t>
  </si>
  <si>
    <t>accepted</t>
  </si>
  <si>
    <t>registered</t>
  </si>
  <si>
    <t>exception</t>
  </si>
  <si>
    <t>cleared</t>
  </si>
  <si>
    <t>physical exam</t>
  </si>
  <si>
    <t>paperwork exam</t>
  </si>
  <si>
    <t>movement</t>
  </si>
  <si>
    <t>Declaration Duty &amp; Tax Value</t>
  </si>
  <si>
    <t>CPC</t>
  </si>
  <si>
    <t>Customer Profile Brokerage Type</t>
  </si>
  <si>
    <t>Customer Profile Status</t>
  </si>
  <si>
    <t>Total Customs Value</t>
  </si>
  <si>
    <t>User Action</t>
  </si>
  <si>
    <t>Declaration Validation</t>
  </si>
  <si>
    <t>declaration.totalDutyTax</t>
  </si>
  <si>
    <t>declaration.totalCustomsValue</t>
  </si>
  <si>
    <t>BOOLEAN</t>
  </si>
  <si>
    <t>Not Applicable</t>
  </si>
  <si>
    <t>Free text</t>
  </si>
  <si>
    <t>Show values from Customer Profile Brokerage Type Table for the relevent clearance country</t>
  </si>
  <si>
    <t>Show values from Customer Profile Status Table for the relevent clearance country</t>
  </si>
  <si>
    <t>Show values from Master User Action Table</t>
  </si>
  <si>
    <t>true/false</t>
  </si>
  <si>
    <t>&gt;1,000,000.00</t>
  </si>
  <si>
    <t>&lt;1,000,000.00</t>
  </si>
  <si>
    <t>Added for GCC as it needs the FALSE value</t>
  </si>
  <si>
    <t>Example Requirement</t>
  </si>
  <si>
    <t>&gt; 100,000</t>
  </si>
  <si>
    <t>Validate Declaration</t>
  </si>
  <si>
    <t>HIGH RISK</t>
  </si>
  <si>
    <t>&gt;=10</t>
  </si>
  <si>
    <t>Total Commodity Count</t>
  </si>
  <si>
    <t>Total Local Converted Value</t>
  </si>
  <si>
    <t>Doc Flag</t>
  </si>
  <si>
    <t>Sanity Check Result</t>
  </si>
  <si>
    <t>Block Declaration</t>
  </si>
  <si>
    <t>Manifest Check Alert</t>
  </si>
  <si>
    <t>Numerical</t>
  </si>
  <si>
    <t>Country Config (Lookup)</t>
  </si>
  <si>
    <t>Drop down from Country Configuration "Commodity Tag" table for the given clearance country</t>
  </si>
  <si>
    <t>Boolean True/False</t>
  </si>
  <si>
    <t>Tag</t>
  </si>
  <si>
    <t>TRUE / FALSE</t>
  </si>
  <si>
    <t>MC-1</t>
  </si>
  <si>
    <t>&gt;1</t>
  </si>
  <si>
    <t>Shipment contains multiple commodities</t>
  </si>
  <si>
    <t>Document</t>
  </si>
  <si>
    <t>Shipment value is higher than expected for Doc declaration</t>
  </si>
  <si>
    <t>&gt;5</t>
  </si>
  <si>
    <t>Shipment weight is higher than expected for Doc declaration</t>
  </si>
  <si>
    <t>Contains Doc</t>
  </si>
  <si>
    <t xml:space="preserve">&gt;0 &amp; &lt;=1 </t>
  </si>
  <si>
    <t>&gt;0,25</t>
  </si>
  <si>
    <t>Shipment value and weight mismatch</t>
  </si>
  <si>
    <t>=0</t>
  </si>
  <si>
    <t>&gt;20</t>
  </si>
  <si>
    <t>Shipment weight higher than expected for Doc declaration</t>
  </si>
  <si>
    <t>Costa Rica</t>
  </si>
  <si>
    <t>Shipment value cannot be zero</t>
  </si>
  <si>
    <t>ILLEGIBLE</t>
  </si>
  <si>
    <t>Shipment description cannot have work illegible</t>
  </si>
  <si>
    <t>Identify Tag</t>
  </si>
  <si>
    <t>Identify Movement Tag</t>
  </si>
  <si>
    <t xml:space="preserve">Rule to identify  where the shipment is physically at within its journey using movement scans </t>
  </si>
  <si>
    <t>Track Type</t>
  </si>
  <si>
    <t>Track Exception Code</t>
  </si>
  <si>
    <t>Scan Location Code</t>
  </si>
  <si>
    <t>Track Country</t>
  </si>
  <si>
    <t>Cons Category</t>
  </si>
  <si>
    <t>Cons Container Type</t>
  </si>
  <si>
    <t>Cons Destination</t>
  </si>
  <si>
    <t>COMMENT</t>
  </si>
  <si>
    <t>Source</t>
  </si>
  <si>
    <t>Drop down value from Master "Track Type"</t>
  </si>
  <si>
    <t>Drop down value from Master "Exception Code"</t>
  </si>
  <si>
    <t>Drop down from Country Config "Shipment Tag" table plus "Movement Tags" only</t>
  </si>
  <si>
    <t>08</t>
  </si>
  <si>
    <t>PUP</t>
  </si>
  <si>
    <t>29</t>
  </si>
  <si>
    <t>07</t>
  </si>
  <si>
    <t>Not Equal "LU"</t>
  </si>
  <si>
    <t>HOPS</t>
  </si>
  <si>
    <t>HIPS</t>
  </si>
  <si>
    <t>ROPS</t>
  </si>
  <si>
    <t>RIPS</t>
  </si>
  <si>
    <t>V</t>
  </si>
  <si>
    <t>Contains "LUX"</t>
  </si>
  <si>
    <t>CONS</t>
  </si>
  <si>
    <t>AR</t>
  </si>
  <si>
    <t>Starts With "LUX"</t>
  </si>
  <si>
    <t>POD</t>
  </si>
  <si>
    <t>VANS</t>
  </si>
  <si>
    <t>02</t>
  </si>
  <si>
    <t>SIPS</t>
  </si>
  <si>
    <t>Not Equal "CR"</t>
  </si>
  <si>
    <t>Contains "SJO"</t>
  </si>
  <si>
    <t>Equal "CR"</t>
  </si>
  <si>
    <t>Duties &amp; Taxes</t>
  </si>
  <si>
    <t>Declaration Summary Required</t>
  </si>
  <si>
    <t>Metamodel</t>
  </si>
  <si>
    <t>Show values Tag Type "Process" from the Shipment Tag table for the relevent clearance country</t>
  </si>
  <si>
    <t>ENUM TRUE / FALSE</t>
  </si>
  <si>
    <t>Review Declaration</t>
  </si>
  <si>
    <t>Comment / Message Description</t>
  </si>
  <si>
    <t>EDI Submission</t>
  </si>
  <si>
    <t>Message Type</t>
  </si>
  <si>
    <t>Message Description</t>
  </si>
  <si>
    <t>Submission Sub Type</t>
  </si>
  <si>
    <t>boolean</t>
  </si>
  <si>
    <t>Drop Down Value from Country Configuration table "Clearance Status"</t>
  </si>
  <si>
    <t>Drop Down Value from Country Configuration table "Shipment Tag" and Submission Tags only</t>
  </si>
  <si>
    <t>Drop Down Value from Country Configuration table "Shipment Tag" and Movement Tags only</t>
  </si>
  <si>
    <t>Drop down values coming from Country Master Table</t>
  </si>
  <si>
    <t>Submission action</t>
  </si>
  <si>
    <t>True/False</t>
  </si>
  <si>
    <t>(NEW) Message Type Country Configuration Table</t>
  </si>
  <si>
    <t>Free text
A--&gt; Post Arrival
D --&gt; Pre-Lodge</t>
  </si>
  <si>
    <t>PREPARED</t>
  </si>
  <si>
    <t> </t>
  </si>
  <si>
    <t>CC415B</t>
  </si>
  <si>
    <t>SUBMITTED</t>
  </si>
  <si>
    <t>Import Declaration Post-Arrival</t>
  </si>
  <si>
    <t>A</t>
  </si>
  <si>
    <t>PICKUP</t>
  </si>
  <si>
    <t>For negative test cases</t>
  </si>
  <si>
    <t>in Transit</t>
  </si>
  <si>
    <t>Invalidation Request</t>
  </si>
  <si>
    <t>CC414B</t>
  </si>
  <si>
    <t>EXCEPTION</t>
  </si>
  <si>
    <t>Invalidation Cancellation Request</t>
  </si>
  <si>
    <t>ACCEPTED</t>
  </si>
  <si>
    <t>REJECTED</t>
  </si>
  <si>
    <t>WAVE 2 Messages (DO NOT TEST)</t>
  </si>
  <si>
    <t>Amendment Request</t>
  </si>
  <si>
    <t>CC413B</t>
  </si>
  <si>
    <t xml:space="preserve">&lt;keep input clearance status / status stays unchanged&gt; </t>
  </si>
  <si>
    <t>Disagreement Request</t>
  </si>
  <si>
    <t>CCI88A</t>
  </si>
  <si>
    <t>Control Result Disagree</t>
  </si>
  <si>
    <t>Reply to Query</t>
  </si>
  <si>
    <t>RFI003</t>
  </si>
  <si>
    <t>Request for Information Response</t>
  </si>
  <si>
    <t>Right to be Heard Request</t>
  </si>
  <si>
    <t>CCI90B</t>
  </si>
  <si>
    <t>Import Declaration Pre-Lodge</t>
  </si>
  <si>
    <t>D</t>
  </si>
  <si>
    <t>It is required? First rule is for all Clearance status with Pickup Movement tag</t>
  </si>
  <si>
    <t>CC432B</t>
  </si>
  <si>
    <t>Presentation Notification</t>
  </si>
  <si>
    <t>Further identification for Pre-lodge in order to not send the PN (432)</t>
  </si>
  <si>
    <t>IMPCTR012 / .POL</t>
  </si>
  <si>
    <t>Initial Import Declaration</t>
  </si>
  <si>
    <t>I</t>
  </si>
  <si>
    <t>Submit Associate Documents</t>
  </si>
  <si>
    <t>XIDRESASO / .IDA</t>
  </si>
  <si>
    <t>Document Association</t>
  </si>
  <si>
    <t>Reply to Notification</t>
  </si>
  <si>
    <t>YVGNOTARCTR / .NOR</t>
  </si>
  <si>
    <t>user action needs to come from Exam user task UI</t>
  </si>
  <si>
    <t>YVGOBSRESCTR / .OBR</t>
  </si>
  <si>
    <t>Reply to Observation</t>
  </si>
  <si>
    <t>US</t>
  </si>
  <si>
    <t>XXX</t>
  </si>
  <si>
    <t>!= US</t>
  </si>
  <si>
    <t>&lt;businessRejectionType&gt;</t>
  </si>
  <si>
    <t>EU EDI Control Type</t>
  </si>
  <si>
    <t>&lt;rejectionCode&gt;</t>
  </si>
  <si>
    <t>&lt;decision&gt;</t>
  </si>
  <si>
    <t>&lt;messageType&gt;</t>
  </si>
  <si>
    <t>Update Clearance Status</t>
  </si>
  <si>
    <t>Alerts</t>
  </si>
  <si>
    <t>NOT REQUIRED</t>
  </si>
  <si>
    <t>EU EDI Control Type Country Table</t>
  </si>
  <si>
    <t>message description</t>
  </si>
  <si>
    <t>Lux Requirements</t>
  </si>
  <si>
    <t>CC410B</t>
  </si>
  <si>
    <t>Processing Notification (response to invalidation requests)</t>
  </si>
  <si>
    <t>CC426B</t>
  </si>
  <si>
    <t>REGISTERED</t>
  </si>
  <si>
    <t>Notification About Registered Declaration</t>
  </si>
  <si>
    <t>*While we don't have pre-lodge it could be TRUE</t>
  </si>
  <si>
    <t>CC428B</t>
  </si>
  <si>
    <t>Notification of Accepted Import Declaration</t>
  </si>
  <si>
    <t>CC429B</t>
  </si>
  <si>
    <t>Notification that goods are released</t>
  </si>
  <si>
    <t>CC451B</t>
  </si>
  <si>
    <t>NOT RELEASED</t>
  </si>
  <si>
    <t>Notification that goods are not released</t>
  </si>
  <si>
    <t>CC456B</t>
  </si>
  <si>
    <t>Notification of Rejected Import Declaration</t>
  </si>
  <si>
    <t>CC460B</t>
  </si>
  <si>
    <t>Paperwork EXAM</t>
  </si>
  <si>
    <t>Control Notification</t>
  </si>
  <si>
    <t>Physical EXAM</t>
  </si>
  <si>
    <t>CCI17A</t>
  </si>
  <si>
    <t>Notification of Technical Validation Error</t>
  </si>
  <si>
    <t>WAVE 2 Messages</t>
  </si>
  <si>
    <t>*FALSE bc WAITING RESPONSE FROM CUSTOMS</t>
  </si>
  <si>
    <t>CC404B</t>
  </si>
  <si>
    <t>Declaration Amendment Acceptance</t>
  </si>
  <si>
    <t>CCI14B</t>
  </si>
  <si>
    <t>Amendment Notification</t>
  </si>
  <si>
    <t>CC444B</t>
  </si>
  <si>
    <t>Control Results</t>
  </si>
  <si>
    <t>CC447B</t>
  </si>
  <si>
    <t>Documentary Control Results</t>
  </si>
  <si>
    <t>CCI19B</t>
  </si>
  <si>
    <t>Request amendment to the EO</t>
  </si>
  <si>
    <t>CCI40A</t>
  </si>
  <si>
    <t>Notification of the new debt</t>
  </si>
  <si>
    <t>CCI89B</t>
  </si>
  <si>
    <t>Notification of the intention to Not Release</t>
  </si>
  <si>
    <t>CCI91B</t>
  </si>
  <si>
    <t>Notification on Right To Be Heard</t>
  </si>
  <si>
    <t>CCI96A</t>
  </si>
  <si>
    <t>Suspension Notification</t>
  </si>
  <si>
    <t>RFI001</t>
  </si>
  <si>
    <t>Request For Information</t>
  </si>
  <si>
    <t>RFI002</t>
  </si>
  <si>
    <t>Request For Information Reminder</t>
  </si>
  <si>
    <t>RFI004</t>
  </si>
  <si>
    <t>Request For Information Acknowledgement / Expiration</t>
  </si>
  <si>
    <t>RFI916A</t>
  </si>
  <si>
    <t>Rejection of RFI Reply - Functional Error</t>
  </si>
  <si>
    <t>RFI917A</t>
  </si>
  <si>
    <t>Rejection of RFI Reply - Tech Error</t>
  </si>
  <si>
    <t>EXAM</t>
  </si>
  <si>
    <t>contains(IE056 / CC056C)</t>
  </si>
  <si>
    <t>015</t>
  </si>
  <si>
    <t>Declaration rejected + &lt;rejectionCode&gt; &lt;rejectionReason&gt; &lt;FunctionalError&gt;</t>
  </si>
  <si>
    <t>[LUCCS to EO] - Rejection from Office of Departure (Business/Functional Error)</t>
  </si>
  <si>
    <t>contains(IE906 / CC906C)</t>
  </si>
  <si>
    <t>013</t>
  </si>
  <si>
    <t>Amendment rejected + &lt;errorPointer&gt; &lt;errorCode&gt; &lt;errorReason&gt;</t>
  </si>
  <si>
    <t>[LUCCS to EO] - Functional NACK (Business/Functional Error)</t>
  </si>
  <si>
    <t>054</t>
  </si>
  <si>
    <t>Release request rejected + &lt;errorPointer&gt; &lt;errorCode&gt; &lt;errorReason&gt;</t>
  </si>
  <si>
    <t>contains(IE917 / CC917C)</t>
  </si>
  <si>
    <t>Accepted, Exception</t>
  </si>
  <si>
    <t>[LUCCS to EO] - XML NACK (Technical error)</t>
  </si>
  <si>
    <t>contains(IE028 / CC028C)</t>
  </si>
  <si>
    <t>MRN Allocated</t>
  </si>
  <si>
    <t>[LUCCS to EO] - MRN Allocated</t>
  </si>
  <si>
    <t>contains(IE928 / CC928C)</t>
  </si>
  <si>
    <t>[LUCCS to EO] - Positive Acknowledge</t>
  </si>
  <si>
    <t>contains(IE060 / CC060C)</t>
  </si>
  <si>
    <t>Exam</t>
  </si>
  <si>
    <t>Documentary controls</t>
  </si>
  <si>
    <t>[LUCCS to EO] - Control Decision Notification</t>
  </si>
  <si>
    <t>Nuclear/radioactive material check</t>
  </si>
  <si>
    <t>Non-intrusive inspection</t>
  </si>
  <si>
    <t>Physical controls</t>
  </si>
  <si>
    <t>Identification of consignment and seals</t>
  </si>
  <si>
    <t>Intrusive inspection</t>
  </si>
  <si>
    <t>Quantity control / Partial or total</t>
  </si>
  <si>
    <t>Nature and characteristics of the goods</t>
  </si>
  <si>
    <t>Sampling</t>
  </si>
  <si>
    <t>Other</t>
  </si>
  <si>
    <t>contains(IE029 / CC029C)</t>
  </si>
  <si>
    <t>Released</t>
  </si>
  <si>
    <t>Released for Transit</t>
  </si>
  <si>
    <t>[LUCCS to EO] - Release for transit</t>
  </si>
  <si>
    <t>contains(IE055 / CC055C)</t>
  </si>
  <si>
    <t>Guarantee not valid</t>
  </si>
  <si>
    <t>[LUCCS to EO] - Guarantee Not Valid</t>
  </si>
  <si>
    <t>contains(IE140 / CC140C)</t>
  </si>
  <si>
    <t>Query on non-arrived movement</t>
  </si>
  <si>
    <t>[LUCCS to EO] - Request on Non-arrived Movement’</t>
  </si>
  <si>
    <t>contains(IE045 / CC045C)</t>
  </si>
  <si>
    <t>[LUCCS to EO] - Write-off notification</t>
  </si>
  <si>
    <t>contains(IE051 / CC051C)</t>
  </si>
  <si>
    <t>[LUCCS to EO] - No Release for Transit</t>
  </si>
  <si>
    <t>contains(IE004 / CC004C)</t>
  </si>
  <si>
    <t>Amendment Accepted</t>
  </si>
  <si>
    <t>[LUCCS to EO] - Amendment Acceptance</t>
  </si>
  <si>
    <t>contains(IE009 / CC009C)</t>
  </si>
  <si>
    <t>Invalidation Accepted</t>
  </si>
  <si>
    <t>[LUCCS to EO] - Invalidation Decision</t>
  </si>
  <si>
    <t>Guarantee Not Valid</t>
  </si>
  <si>
    <t>contains(IE043 / CC043C)</t>
  </si>
  <si>
    <t>Unload Permission</t>
  </si>
  <si>
    <t>[LUCCS to EO] - Unloading Permission</t>
  </si>
  <si>
    <t>contains(IE025 / CC025C)</t>
  </si>
  <si>
    <t>Full Release</t>
  </si>
  <si>
    <t>Transit Fully Released</t>
  </si>
  <si>
    <t>[LUCCS to EO] - Goods Release Notification</t>
  </si>
  <si>
    <t>contains(IE057 / CC057C)</t>
  </si>
  <si>
    <t>007</t>
  </si>
  <si>
    <t>Arrival notification rejection: message with functional errors</t>
  </si>
  <si>
    <t>[LUCCS to EO] - Rejection from Office of Destination (Business/Functional Error)</t>
  </si>
  <si>
    <t>008</t>
  </si>
  <si>
    <t>Arrival notification rejection: other reasons</t>
  </si>
  <si>
    <t>009</t>
  </si>
  <si>
    <t>010</t>
  </si>
  <si>
    <t>Arrival notification rejection: not applicable (TIR, AD, SM)</t>
  </si>
  <si>
    <t>044</t>
  </si>
  <si>
    <t>045</t>
  </si>
  <si>
    <t>046</t>
  </si>
  <si>
    <t>047</t>
  </si>
  <si>
    <t>contains(IE019 / CC019C)</t>
  </si>
  <si>
    <t>Discrepancies Found by Customs</t>
  </si>
  <si>
    <t>[LUCCS to EO] - Discrepancies</t>
  </si>
  <si>
    <t>Standard Sort Code</t>
  </si>
  <si>
    <t>Drop down value from Country Config "Clearance Status"</t>
  </si>
  <si>
    <t>Drop down value from Country Config "Shipment Tag"</t>
  </si>
  <si>
    <t>Drop down value from Country Sort Code</t>
  </si>
  <si>
    <t>Phase 1 (Day 1)</t>
  </si>
  <si>
    <t>REL</t>
  </si>
  <si>
    <t>PPWK EXAM</t>
  </si>
  <si>
    <t>PHYS EXAM</t>
  </si>
  <si>
    <t>CAGE</t>
  </si>
  <si>
    <t>Missing from GCC</t>
  </si>
  <si>
    <t>Phase 1 (Not Day 1)</t>
  </si>
  <si>
    <t xml:space="preserve">Phase 2 </t>
  </si>
  <si>
    <t>Transit</t>
  </si>
  <si>
    <t>STAGE TDOC</t>
  </si>
  <si>
    <t>Confirm Staging is Correct</t>
  </si>
  <si>
    <t>Configuration Added Not Required to be removed</t>
  </si>
  <si>
    <t>Rounding values</t>
  </si>
  <si>
    <t>*call-out along the process</t>
  </si>
  <si>
    <t>To round values to the decimal position number</t>
  </si>
  <si>
    <t>Rounding Value</t>
  </si>
  <si>
    <t>Rounding Method</t>
  </si>
  <si>
    <t>Decimal Position Number</t>
  </si>
  <si>
    <t>Drop down value from Rounding Value</t>
  </si>
  <si>
    <t>Drop down value from Rounding Method</t>
  </si>
  <si>
    <t>Luxemburg Requirement</t>
  </si>
  <si>
    <t>SHIPMENT GROSS WEIGHT</t>
  </si>
  <si>
    <t>ROUND NORMAL</t>
  </si>
  <si>
    <t>SHIPMENT NET WEIGHT</t>
  </si>
  <si>
    <t>COMMODITY GROSS WEIGHT</t>
  </si>
  <si>
    <t>COMMODITY NET WEIGHT</t>
  </si>
  <si>
    <t>LOCAL CUSTOMS VALUE</t>
  </si>
  <si>
    <t>STATISTICAL VALUE</t>
  </si>
  <si>
    <t>SHIPMENT TOTAL VALUE</t>
  </si>
  <si>
    <t>FREIGHT CHARGE</t>
  </si>
  <si>
    <t>Indentify Tags</t>
  </si>
  <si>
    <t>Identify Commodity Tags</t>
  </si>
  <si>
    <t>Rules to identify shipments with specific commodity types to enable decision points in the work process</t>
  </si>
  <si>
    <t xml:space="preserve">Description </t>
  </si>
  <si>
    <t>declaration.shipment.shipmentDescription</t>
  </si>
  <si>
    <t>Example Input</t>
  </si>
  <si>
    <t>If description = or contains Commodity Description in Country Configuration Table Commodity Group then give me the associated tag</t>
  </si>
  <si>
    <t>Tag Type</t>
  </si>
  <si>
    <t>Tag Name</t>
  </si>
  <si>
    <t>Example Output</t>
  </si>
  <si>
    <t>whiskey</t>
  </si>
  <si>
    <t>chocolate</t>
  </si>
  <si>
    <t>Submission Sub Type will be used to attach to the EDI message sent to customs in order to understand the order of the messages and what needs to come next in terms of customs submission (EU Use Case)</t>
  </si>
  <si>
    <t>Sort Clearance Status Code</t>
  </si>
  <si>
    <t>Shipment Tag (Process)</t>
  </si>
  <si>
    <t>Sort Code</t>
  </si>
  <si>
    <t>CLR</t>
  </si>
  <si>
    <t>HV</t>
  </si>
  <si>
    <t>TDOC</t>
  </si>
  <si>
    <t>NFBRK</t>
  </si>
  <si>
    <t>NC</t>
  </si>
  <si>
    <t>Table Source Type</t>
  </si>
  <si>
    <t>Table Source</t>
  </si>
  <si>
    <t>NEW OUTPUT</t>
  </si>
  <si>
    <t>Sort Update</t>
  </si>
  <si>
    <t>Post Scans</t>
  </si>
  <si>
    <t xml:space="preserve">Update Final Duty/Tax/Anc </t>
  </si>
  <si>
    <t>Generate Clearance Document</t>
  </si>
  <si>
    <t>Update CIE</t>
  </si>
  <si>
    <t>Archive</t>
  </si>
  <si>
    <t>Archive Days</t>
  </si>
  <si>
    <t>(Determines if a shipment will be archived or not)</t>
  </si>
  <si>
    <t>(Determines the number of days from system date that the shipment will be archived from)</t>
  </si>
  <si>
    <t>Auto clear</t>
  </si>
  <si>
    <t>Comment Scan</t>
  </si>
  <si>
    <t xml:space="preserve">Entry Submission Number </t>
  </si>
  <si>
    <t>declaration.entrySubmissionNumber</t>
  </si>
  <si>
    <t>Shipment Tag</t>
  </si>
  <si>
    <t>Scan Codes</t>
  </si>
  <si>
    <t>Entry Cleared by Customs</t>
  </si>
  <si>
    <t>Shipment Pending Customs Examination</t>
  </si>
  <si>
    <t>Entry not released</t>
  </si>
  <si>
    <t>90</t>
  </si>
  <si>
    <t>Customs Obligation Fee</t>
  </si>
  <si>
    <t>Source Currency Code</t>
  </si>
  <si>
    <t>Target Currency Code</t>
  </si>
  <si>
    <t>EDT calculation Skip Indicator</t>
  </si>
  <si>
    <t>Drop down value from Master "Currency Table"</t>
  </si>
  <si>
    <t>TRUE/FALSE</t>
  </si>
  <si>
    <t>Costa Rica Requirements</t>
  </si>
  <si>
    <t>USD</t>
  </si>
  <si>
    <t>CRC</t>
  </si>
  <si>
    <t>&lt;&gt;FTZ</t>
  </si>
  <si>
    <t>GCC Governance Approval</t>
  </si>
  <si>
    <t>Approved</t>
  </si>
  <si>
    <t>Feature</t>
  </si>
  <si>
    <t>E-451166</t>
  </si>
  <si>
    <t>Run EDT Calculation</t>
  </si>
  <si>
    <t>Workflow - Run EDT Calculation</t>
  </si>
  <si>
    <t>Customer Type</t>
  </si>
  <si>
    <t>IOSS Number</t>
  </si>
  <si>
    <t>Override Percentage</t>
  </si>
  <si>
    <t>Tax Type</t>
  </si>
  <si>
    <t>declaration.party[role IN ('I')].type</t>
  </si>
  <si>
    <t>declaration.entryRefNumber[type IN ('IOSS')].value</t>
  </si>
  <si>
    <t>Number 1-100</t>
  </si>
  <si>
    <t>Dropdown from Country Configuration for Customer Profile Type for the given clearance country</t>
  </si>
  <si>
    <t>Dropdown  from Country Configuration "Tag" table plus "Submission Tags" only for the given clearance country</t>
  </si>
  <si>
    <t>Drop Down Master Tax Exemption Type</t>
  </si>
  <si>
    <t>PI</t>
  </si>
  <si>
    <t>Not Null</t>
  </si>
  <si>
    <t>GST</t>
  </si>
  <si>
    <t>Check on the validation rules for IOSS number (Susan)</t>
  </si>
  <si>
    <t>Align with Workflow (Completed)</t>
  </si>
  <si>
    <t>Customer Type is not always accurate - Import One Stop Shop (IOSS) was introduced which allowed any seller to charge VAT at the point of sale and pay it directly to the tax authorities</t>
  </si>
  <si>
    <t>Source for GST is from where ?  Page 17 of</t>
  </si>
  <si>
    <t>EDT Interface Guide</t>
  </si>
  <si>
    <t>Note:  Exemption Types (from TT) GCC  table exists in Demand, but was put on Hold since we are not supporting Manual overrides at the moment</t>
  </si>
  <si>
    <t>Feature No :</t>
  </si>
  <si>
    <t>E-478170</t>
  </si>
  <si>
    <t xml:space="preserve">Demand Team: </t>
  </si>
  <si>
    <t xml:space="preserve">Requester's name: </t>
  </si>
  <si>
    <t>Joel Maxson</t>
  </si>
  <si>
    <t>Request date:</t>
  </si>
  <si>
    <t xml:space="preserve">Status: </t>
  </si>
  <si>
    <t xml:space="preserve">Approved date: </t>
  </si>
  <si>
    <t>4/28/2025</t>
  </si>
  <si>
    <t xml:space="preserve">Calculate Entry Form (IT) </t>
  </si>
  <si>
    <t>The purpose of this Rule is to calculate Commodity line level values using the Country Proration method and values from the Header level.</t>
  </si>
  <si>
    <t>Parameter Name</t>
  </si>
  <si>
    <t>PRORATION METHOD</t>
  </si>
  <si>
    <t>INCOTERMS</t>
  </si>
  <si>
    <t>TOTAL WEIGHT</t>
  </si>
  <si>
    <t>TOTAL VALUE</t>
  </si>
  <si>
    <t>COMMODITY LINE VALUE</t>
  </si>
  <si>
    <t>COMMODITY LINE WEIGHT</t>
  </si>
  <si>
    <t>TOTAL FREIGHT VALUE</t>
  </si>
  <si>
    <t>TOTAL INSURANCE VALUE</t>
  </si>
  <si>
    <t>COMMODITY LINE ADJUSTMENT</t>
  </si>
  <si>
    <t>HEADER LEVEL ADJUSTMENT</t>
  </si>
  <si>
    <t>PRORATED VALUE</t>
  </si>
  <si>
    <t>PRORATED FREIGHT AMOUNT</t>
  </si>
  <si>
    <t>PRORATED INSURANCE AMOUNT</t>
  </si>
  <si>
    <t>PRORATED HEADER LEVEL ADJUSTMENTS</t>
  </si>
  <si>
    <t>TOTAL CUSTOMS VALUE</t>
  </si>
  <si>
    <t>This is the name that will  be presented in UI for User</t>
  </si>
  <si>
    <t xml:space="preserve">Associated Meta Model Value </t>
  </si>
  <si>
    <t>OptionalMap</t>
  </si>
  <si>
    <t>declaration{incoTerm}</t>
  </si>
  <si>
    <t>declaration.commodity[*]{*}</t>
  </si>
  <si>
    <t>declaration.invoice[*]{freightAmt}</t>
  </si>
  <si>
    <t>declaration.invoice[*]{insuranceAmt}</t>
  </si>
  <si>
    <t>declaration.commodity[*].adjustment[*].*</t>
  </si>
  <si>
    <t>declaration.adjustment[*].*</t>
  </si>
  <si>
    <t>Any</t>
  </si>
  <si>
    <t>String / Integer / Free Text …</t>
  </si>
  <si>
    <t>Country Table</t>
  </si>
  <si>
    <t>Are the parameters being sources from a  Master or Country configuraiton table</t>
  </si>
  <si>
    <t>Drop down from Clearance Loc Table and Commodity Prorate values for given clearance country</t>
  </si>
  <si>
    <t>No Source</t>
  </si>
  <si>
    <t>What is the name of the Master / Country Configuraiton table</t>
  </si>
  <si>
    <t>VALUE</t>
  </si>
  <si>
    <t>starts with(Incoterm, "E") or starts with(Incoterm, "F") or starts with(Incoterm, "X")</t>
  </si>
  <si>
    <t>sum(TOTALVALUE) * (COMMODITYLINEVALUE/sum(TOTALVALUE))</t>
  </si>
  <si>
    <t>TOTALFREIGHTVALUE * (COMMODITYLINEVALUE/sum(TOTALVALUE))</t>
  </si>
  <si>
    <t>TOTALINSURANCEVALUE * (COMMODITYLINEVALUE/sum(TOTALVALUE))</t>
  </si>
  <si>
    <t>sum(HEADERLEVELADJUSTMENT) * (COMMODITYLINEVALUE/sum(TOTALVALUE))</t>
  </si>
  <si>
    <t>COMMODITYLINEVALUE+(TOTALFREIGHTVALUE * (COMMODITYLINEVALUE/sum(TOTALVALUE)))+(TOTALINSURANCEVALUE * (COMMODITYLINEVALUE/sum(TOTALVALUE)))+(sum(HEADERLEVELADJUSTMENT) * (COMMODITYLINEVALUE/sum(TOTALVALUE)))+(sum(COMMODITYLINENETADJUSTMENTS))</t>
  </si>
  <si>
    <t>starts with(Incoterm, "C") or starts with(Incoterm, "D")</t>
  </si>
  <si>
    <t>WEIGHT</t>
  </si>
  <si>
    <t>sum(TOTALWEIGHT) * (COMMODITYLINEWEIGHT/sum(TOTALWEIGHT))</t>
  </si>
  <si>
    <t>TOTALFREIGHTVALUE * (COMMODITYLINEWEIGHT/sum(TOTALWEIGHT))</t>
  </si>
  <si>
    <t>TOTALINSURANCEVALUE * (COMMODITYLINEWEIGHT/sum(TOTALWEIGHT))</t>
  </si>
  <si>
    <t>HEADERLEVELADJUSTMENT * (COMMODITYLINEWEIGHT/sum(TOTALWEIGHT))</t>
  </si>
  <si>
    <t>COMMODITYLINEWEIGHT+(TOTALFREIGHTVALUE * (COMMODITYLINEWEIGHT/sum(TOTALWEIGHT)))+(TOTALINSURANCEVALUE * (COMMODITYLINEWEIGHT/sum(TOTALWEIGHT)))+(HEADERLEVELADJUSTMENT * (COMMODITYLINEWEIGHT/sum(TOTALWEIGHT)))+COMMODITYLINENETADJUSTMENTS</t>
  </si>
  <si>
    <t>sum(HEADERLEVELADJUSTMENT) * (COMMODITYLINEWEIGHT/sum(TOTALWEIGHT))</t>
  </si>
  <si>
    <t>COMMODITYLINEWEIGHT+(TOTALFREIGHTVALUE * (COMMODITYLINEWEIGHT/sum(TOTALWEIGHT)))+(TOTALINSURANCEVALUE * (COMMODITYLINEWEIGHT/sum(TOTALWEIGHT)))+(sum(HEADERLEVELADJUSTMENT) * (COMMODITYLINEWEIGHT/sum(TOTALWEIGHT)))+(sum(COMMODITYLINENETADJUSTMENTS))</t>
  </si>
  <si>
    <t>E-500587</t>
  </si>
  <si>
    <t>SpeedForce</t>
  </si>
  <si>
    <t>Murali</t>
  </si>
  <si>
    <t>Determine which exception action(s) are available/displayed along with workflow path for the exception to users in Handle Exception Task user task. This is adhoc task</t>
  </si>
  <si>
    <t>Available Actions</t>
  </si>
  <si>
    <t>Workflow</t>
  </si>
  <si>
    <r>
      <t xml:space="preserve">Drop down from </t>
    </r>
    <r>
      <rPr>
        <strike/>
        <sz val="11"/>
        <color rgb="FF000000"/>
        <rFont val="Aptos Narrow"/>
        <family val="2"/>
        <scheme val="minor"/>
      </rPr>
      <t>Master Submission Action</t>
    </r>
    <r>
      <rPr>
        <sz val="11"/>
        <color rgb="FF000000"/>
        <rFont val="Aptos Narrow"/>
        <family val="2"/>
        <scheme val="minor"/>
      </rPr>
      <t xml:space="preserve">  Master User Task Table</t>
    </r>
  </si>
  <si>
    <t>Dropdown from master Gemini Workflows table</t>
  </si>
  <si>
    <t>EDI Integration</t>
  </si>
  <si>
    <t>Manual Update</t>
  </si>
  <si>
    <t>Post Submission Handling</t>
  </si>
  <si>
    <t>Modify Entry</t>
  </si>
  <si>
    <t>E-480519</t>
  </si>
  <si>
    <t>Nerds</t>
  </si>
  <si>
    <t>John Street</t>
  </si>
  <si>
    <t>APPROVED</t>
  </si>
  <si>
    <t>5/15/2025</t>
  </si>
  <si>
    <t>Identify Exit Location</t>
  </si>
  <si>
    <t xml:space="preserve">Identify Exit location </t>
  </si>
  <si>
    <t xml:space="preserve">Comments to note on rule configuration </t>
  </si>
  <si>
    <t>Exit Location</t>
  </si>
  <si>
    <t>does not equal(AL, AD, BA, IC, EA, FO, GI, GL, GB, XK, IS, LI, MK, EA, MD, ME, NO, RS, TR, VA, CH)</t>
  </si>
  <si>
    <t>if shipment leaves EU by plane (countries not on line above)Export Loc = Exit Loc</t>
  </si>
  <si>
    <t>equals(AL)</t>
  </si>
  <si>
    <t>SOF</t>
  </si>
  <si>
    <t>equals(AD)</t>
  </si>
  <si>
    <t>BCN</t>
  </si>
  <si>
    <t>equals(BA)</t>
  </si>
  <si>
    <t>ZAG</t>
  </si>
  <si>
    <t>equals(IC)</t>
  </si>
  <si>
    <t>MAD</t>
  </si>
  <si>
    <t>equals(EA)</t>
  </si>
  <si>
    <t>equals(FO)</t>
  </si>
  <si>
    <t>CPH</t>
  </si>
  <si>
    <t>equals(GI)</t>
  </si>
  <si>
    <t>equals(GL)</t>
  </si>
  <si>
    <t>equals(GB)</t>
  </si>
  <si>
    <t>CDG</t>
  </si>
  <si>
    <t>multiple exit locations, rule needs to be refined later on</t>
  </si>
  <si>
    <t>equals(XK)</t>
  </si>
  <si>
    <t>equals(IS)</t>
  </si>
  <si>
    <t>LGG</t>
  </si>
  <si>
    <t>equals(LI)</t>
  </si>
  <si>
    <t>equals(MK)</t>
  </si>
  <si>
    <t>equals(MD)</t>
  </si>
  <si>
    <t>BUH</t>
  </si>
  <si>
    <t>equals(ME)</t>
  </si>
  <si>
    <t>TSR</t>
  </si>
  <si>
    <t>equals(NO)</t>
  </si>
  <si>
    <t>HL3</t>
  </si>
  <si>
    <t>equals(RS)</t>
  </si>
  <si>
    <t>equals(TR)</t>
  </si>
  <si>
    <t>equals(VA)</t>
  </si>
  <si>
    <t>ROM</t>
  </si>
  <si>
    <t>equals(CH)</t>
  </si>
  <si>
    <t>GCC Governance Status</t>
  </si>
  <si>
    <t>Expiration Day</t>
  </si>
  <si>
    <t>Follow Up Day</t>
  </si>
  <si>
    <t xml:space="preserve">Country Configuratin </t>
  </si>
  <si>
    <t>Show values for Tag Type "Submission" from the Shipment Tag table for the relevent clearance country</t>
  </si>
  <si>
    <t>Enter the number of days the submission type will expire</t>
  </si>
  <si>
    <t>Enter the number of days the submission type will require follow up</t>
  </si>
  <si>
    <t>NCTS Discharged</t>
  </si>
  <si>
    <t>Show values from Clearance Status table for the relevent clearance country</t>
  </si>
  <si>
    <t>ENUM:  TRUE/FALSE</t>
  </si>
  <si>
    <t>&lt;&gt;Transit</t>
  </si>
  <si>
    <t>Discharged</t>
  </si>
  <si>
    <t>E-527097</t>
  </si>
  <si>
    <t>Post Submission Declaration Handling IMP10</t>
  </si>
  <si>
    <t>Input Parameter</t>
  </si>
  <si>
    <t>Follow-Up Actions
Separate GCC Actions Table &gt; User Actions (Master Table)
 Anshul to confirm on the multi-selection which should be presented as a radio button in the GEMINI UI as for eample CC189B customs response can have 3 options for the user
Blank assumes no User Action</t>
  </si>
  <si>
    <t>Entry Build Editable</t>
  </si>
  <si>
    <t>Entry Build
Save</t>
  </si>
  <si>
    <t>Entry Build
Complete</t>
  </si>
  <si>
    <t>Entry Build 
Customer Contact</t>
  </si>
  <si>
    <t xml:space="preserve">Entry Build 
Next </t>
  </si>
  <si>
    <t>Entry Build
Intercept Code</t>
  </si>
  <si>
    <t>Message Type Country Configuration Table</t>
  </si>
  <si>
    <t xml:space="preserve">User Action </t>
  </si>
  <si>
    <t>&lt;blank&gt;</t>
  </si>
  <si>
    <t>Acknowledge Customs Reply</t>
  </si>
  <si>
    <t>Right to be Heard</t>
  </si>
  <si>
    <t>Reply To Query</t>
  </si>
  <si>
    <t>Declaration Amendment</t>
  </si>
  <si>
    <t>Control Results Disagreement</t>
  </si>
  <si>
    <t>E-534676</t>
  </si>
  <si>
    <t xml:space="preserve">John Street </t>
  </si>
  <si>
    <t>Prepared Declaration Staging Process IMP09</t>
  </si>
  <si>
    <t>GCC UI Description / Name</t>
  </si>
  <si>
    <t>Manifest Status</t>
  </si>
  <si>
    <t>Process Declaration</t>
  </si>
  <si>
    <t>STRING</t>
  </si>
  <si>
    <t xml:space="preserve">Country </t>
  </si>
  <si>
    <t>Country Table Shipment Tag &amp; Submission Tag for the given clearance country and clearance procedure</t>
  </si>
  <si>
    <t>Clearance Status for the given country and clearance procedure</t>
  </si>
  <si>
    <t xml:space="preserve">Country Table Manifest Status for the given clearance country and clearance procedure. </t>
  </si>
  <si>
    <t>Country Table Movement Tags for the given clearance country and clearance procedure</t>
  </si>
  <si>
    <t>Boolean : TRUE/FALSE</t>
  </si>
  <si>
    <t>Example LU Requirement</t>
  </si>
  <si>
    <t>&lt;Blank&gt;</t>
  </si>
  <si>
    <t>PickedUp</t>
  </si>
  <si>
    <t>Example CR Requirement</t>
  </si>
  <si>
    <t>Example NZ Requirement</t>
  </si>
  <si>
    <t xml:space="preserve">Simplified </t>
  </si>
  <si>
    <t>Open</t>
  </si>
  <si>
    <t>Update Systems Post Manifest Submission</t>
  </si>
  <si>
    <t>To determine which downstream systems we need to update when a customs response is received for a manifest declaration</t>
  </si>
  <si>
    <t>clearance procedure</t>
  </si>
  <si>
    <t>imports</t>
  </si>
  <si>
    <t>Manifest Type</t>
  </si>
  <si>
    <t>Generate Clearance Document (Manifest)</t>
  </si>
  <si>
    <t>Drop down value from Country Configuration "Message Type" table for given clearance country</t>
  </si>
  <si>
    <t xml:space="preserve">Drop Down Value from Country Configuration table "Clearance Status" for the given clearance country </t>
  </si>
  <si>
    <t>Boolean
(Determines if a shipment will be archived or not)</t>
  </si>
  <si>
    <t>Free Text
(Determines the number of days from system date that the shipment will be archived from)</t>
  </si>
  <si>
    <t>T1</t>
  </si>
  <si>
    <t>B-2642861</t>
  </si>
  <si>
    <t>Original Rule feature - E-477415</t>
  </si>
  <si>
    <t>Optimizers</t>
  </si>
  <si>
    <t>Abhijit Dey</t>
  </si>
  <si>
    <t>9/19/2025</t>
  </si>
  <si>
    <t>Requested</t>
  </si>
  <si>
    <t>The purpose of this Rule is to calculate the insurance at the header level. For CR, the insurance is calculated at the header level and should be extensible to calculate insurance at the header level.</t>
  </si>
  <si>
    <t>Change to Existing Rule</t>
  </si>
  <si>
    <t>Modify namespace expression</t>
  </si>
  <si>
    <t>Modify Formulae</t>
  </si>
  <si>
    <t>TOTAL FREIGHT AMOUNT</t>
  </si>
  <si>
    <t>INSURANCE RATE</t>
  </si>
  <si>
    <t>declaration.freight.chargeAmount</t>
  </si>
  <si>
    <t>optional map</t>
  </si>
  <si>
    <t>not(null)</t>
  </si>
  <si>
    <t>0.011*(TOTALVALUE+TOTALFREIGHTAMOUNT+HEADERLEVELADJUSTMENT) * (INSURANCE RATE)</t>
  </si>
  <si>
    <t>E-477415</t>
  </si>
  <si>
    <t>Abhijit Dey / Wendy Wood Parker</t>
  </si>
  <si>
    <t>4/17/2025</t>
  </si>
  <si>
    <t>Abhijit to review with team it may take a different direction 29/04</t>
  </si>
  <si>
    <t>5/13/2025</t>
  </si>
  <si>
    <t>The purpose of this Rule is to calculate the insurance at the header invoice task level. For CR, the insurance is calculated at the invoice level, but this rule should be extensible to calculate insurance at the header level</t>
  </si>
  <si>
    <t>INVOICE VALUE</t>
  </si>
  <si>
    <t>INVOICE FREIGHT AMOUNT</t>
  </si>
  <si>
    <t>declaration.freight[*]{chargeAmount}</t>
  </si>
  <si>
    <t>new insuranceRateConfig</t>
  </si>
  <si>
    <t>sum(TOTALVALUE) * (INVOICEVALUE/sum(TOTALVALUE))</t>
  </si>
  <si>
    <t>sum(HEADERLEVELADJUSTMENT) * (INVOICEVALUE/sum(TOTALVALUE))</t>
  </si>
  <si>
    <t>0.1*(INVOICEVALUE+INVOICEFREIGHTVALUE+sum(HEADERLEVELADJUSTMENT) * (INVOICEVALUE/sum(TOTALVALUE))</t>
  </si>
  <si>
    <t>null</t>
  </si>
  <si>
    <t>TOTALFREIGHTVALUE * (INVOICEVALUE/sum(TOTALVALUE))</t>
  </si>
  <si>
    <t>0.1*(INVOICEVALUE+TOTALFREIGHTVALUE * (INVOICEVALUE/sum(TOTALVALUE))+sum(HEADERLEVELADJUSTMENT) * (INVOICEVALUE/sum(TOTALVALUE)))*INSURANCERATE/100</t>
  </si>
  <si>
    <t>Phase 2</t>
  </si>
  <si>
    <t>SUBMISSION TYPE</t>
  </si>
  <si>
    <t>LU 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</si>
</sst>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51" x14ac:knownFonts="1">
    <font>
      <sz val="11"/>
      <color theme="1"/>
      <name val="Aptos Narrow"/>
      <family val="2"/>
      <scheme val="minor"/>
    </font>
    <font>
      <b/>
      <sz val="11"/>
      <color theme="1"/>
      <name val="Aptos Narrow"/>
      <family val="2"/>
      <scheme val="minor"/>
    </font>
    <font>
      <b/>
      <sz val="13"/>
      <color rgb="FF000000"/>
      <name val="Calibri"/>
      <family val="2"/>
    </font>
    <font>
      <b/>
      <sz val="11"/>
      <color rgb="FF000000"/>
      <name val="Calibri"/>
      <family val="2"/>
    </font>
    <font>
      <sz val="11"/>
      <color rgb="FFFF0000"/>
      <name val="Aptos Narrow"/>
      <family val="2"/>
      <scheme val="minor"/>
    </font>
    <font>
      <sz val="11"/>
      <color rgb="FF000000"/>
      <name val="Calibri"/>
      <family val="2"/>
    </font>
    <font>
      <sz val="8"/>
      <name val="Aptos Narrow"/>
      <family val="2"/>
      <scheme val="minor"/>
    </font>
    <font>
      <sz val="11"/>
      <name val="Aptos Narrow"/>
      <family val="2"/>
      <scheme val="minor"/>
    </font>
    <font>
      <i/>
      <sz val="11"/>
      <color rgb="FF000000"/>
      <name val="Calibri"/>
      <family val="2"/>
    </font>
    <font>
      <b/>
      <sz val="11"/>
      <name val="Aptos Narrow"/>
      <family val="2"/>
      <scheme val="minor"/>
    </font>
    <font>
      <b/>
      <sz val="12"/>
      <color theme="0"/>
      <name val="Aptos Narrow"/>
      <family val="2"/>
      <scheme val="minor"/>
    </font>
    <font>
      <b/>
      <i/>
      <sz val="11"/>
      <color theme="1"/>
      <name val="Aptos Narrow"/>
      <family val="2"/>
      <scheme val="minor"/>
    </font>
    <font>
      <sz val="12"/>
      <name val="Calibri"/>
      <family val="2"/>
    </font>
    <font>
      <b/>
      <sz val="11"/>
      <color theme="0"/>
      <name val="Aptos Narrow"/>
      <family val="2"/>
      <scheme val="minor"/>
    </font>
    <font>
      <sz val="11"/>
      <color rgb="FF000000"/>
      <name val="Aptos Narrow"/>
      <family val="2"/>
    </font>
    <font>
      <i/>
      <sz val="11"/>
      <color rgb="FF000000"/>
      <name val="Aptos Narrow"/>
      <family val="2"/>
    </font>
    <font>
      <b/>
      <strike/>
      <sz val="11"/>
      <color theme="1"/>
      <name val="Aptos Narrow"/>
      <family val="2"/>
      <scheme val="minor"/>
    </font>
    <font>
      <b/>
      <strike/>
      <sz val="11"/>
      <color rgb="FFFF0000"/>
      <name val="Aptos Narrow"/>
      <family val="2"/>
      <scheme val="minor"/>
    </font>
    <font>
      <sz val="11"/>
      <color rgb="FF000000"/>
      <name val="Aptos Narrow"/>
      <family val="2"/>
      <scheme val="minor"/>
    </font>
    <font>
      <b/>
      <sz val="11"/>
      <color rgb="FF000000"/>
      <name val="Aptos Narrow"/>
      <family val="2"/>
      <scheme val="minor"/>
    </font>
    <font>
      <b/>
      <sz val="11"/>
      <color rgb="FFFF0000"/>
      <name val="Aptos Narrow"/>
      <family val="2"/>
      <scheme val="minor"/>
    </font>
    <font>
      <sz val="11"/>
      <color theme="1"/>
      <name val="Calibri"/>
      <family val="2"/>
    </font>
    <font>
      <sz val="11"/>
      <color rgb="FFFF0000"/>
      <name val="Aptos Narrow"/>
      <family val="2"/>
    </font>
    <font>
      <sz val="11"/>
      <color rgb="FF006100"/>
      <name val="Aptos Narrow"/>
      <family val="2"/>
    </font>
    <font>
      <sz val="11"/>
      <color rgb="FFFF0000"/>
      <name val="Calibri"/>
      <family val="2"/>
    </font>
    <font>
      <b/>
      <sz val="11"/>
      <color rgb="FFFF0000"/>
      <name val="Calibri"/>
      <family val="2"/>
    </font>
    <font>
      <sz val="11"/>
      <color theme="1"/>
      <name val="Aptos Narrow"/>
      <family val="2"/>
    </font>
    <font>
      <b/>
      <sz val="11"/>
      <color theme="1"/>
      <name val="Calibri"/>
      <family val="2"/>
    </font>
    <font>
      <sz val="11"/>
      <color rgb="FF9C0006"/>
      <name val="Aptos Narrow"/>
      <family val="2"/>
      <scheme val="minor"/>
    </font>
    <font>
      <b/>
      <sz val="11"/>
      <color rgb="FFFFFFFF"/>
      <name val="Aptos Narrow"/>
      <family val="2"/>
      <scheme val="minor"/>
    </font>
    <font>
      <u/>
      <sz val="11"/>
      <color theme="10"/>
      <name val="Aptos Narrow"/>
      <family val="2"/>
      <scheme val="minor"/>
    </font>
    <font>
      <sz val="11"/>
      <color rgb="FF242424"/>
      <name val="Aptos Narrow"/>
      <family val="2"/>
      <scheme val="minor"/>
    </font>
    <font>
      <sz val="10"/>
      <color rgb="FF252424"/>
      <name val="Segoe UI"/>
      <family val="2"/>
    </font>
    <font>
      <sz val="12"/>
      <color rgb="FF000000"/>
      <name val="Aptos"/>
      <family val="2"/>
    </font>
    <font>
      <strike/>
      <sz val="11"/>
      <color rgb="FF000000"/>
      <name val="Aptos Narrow"/>
      <family val="2"/>
      <scheme val="minor"/>
    </font>
    <font>
      <b/>
      <sz val="12"/>
      <color theme="0"/>
      <name val="Calibri"/>
      <family val="2"/>
    </font>
    <font>
      <sz val="11"/>
      <color rgb="FF006100"/>
      <name val="Aptos Narrow"/>
      <family val="2"/>
      <scheme val="minor"/>
    </font>
    <font>
      <sz val="11"/>
      <color theme="9" tint="-0.499984740745262"/>
      <name val="Aptos Narrow"/>
      <family val="2"/>
    </font>
    <font>
      <sz val="11"/>
      <color theme="9" tint="-0.499984740745262"/>
      <name val="Calibri"/>
      <family val="2"/>
    </font>
    <font>
      <b/>
      <sz val="11"/>
      <color theme="9" tint="-0.499984740745262"/>
      <name val="Calibri"/>
      <family val="2"/>
    </font>
    <font>
      <b/>
      <strike/>
      <sz val="11"/>
      <color rgb="FF000000"/>
      <name val="Calibri"/>
      <family val="2"/>
    </font>
    <font>
      <b/>
      <sz val="12"/>
      <color rgb="FF000000"/>
      <name val="Aptos Narrow"/>
      <family val="2"/>
      <scheme val="minor"/>
    </font>
    <font>
      <sz val="12"/>
      <name val="Aptos Narrow"/>
      <family val="2"/>
    </font>
    <font>
      <sz val="12"/>
      <color theme="1"/>
      <name val="Aptos Narrow"/>
      <family val="2"/>
      <scheme val="minor"/>
    </font>
    <font>
      <b/>
      <sz val="12"/>
      <color rgb="FF000000"/>
      <name val="Calibri"/>
      <family val="2"/>
    </font>
    <font>
      <b/>
      <sz val="12"/>
      <color rgb="FF000000"/>
      <name val="Aptos"/>
      <family val="2"/>
    </font>
    <font>
      <sz val="11"/>
      <name val="Aptos Narrow"/>
      <family val="2"/>
    </font>
    <font>
      <strike/>
      <sz val="11"/>
      <name val="Aptos Narrow"/>
      <family val="2"/>
      <scheme val="minor"/>
    </font>
    <font>
      <i/>
      <sz val="11"/>
      <color rgb="FFFF0000"/>
      <name val="Calibri"/>
      <family val="2"/>
    </font>
    <font>
      <b/>
      <sz val="11"/>
      <name val="Calibri"/>
      <family val="2"/>
    </font>
    <font>
      <b/>
      <sz val="11"/>
      <color rgb="FFFF0000"/>
      <name val="Aptos Narrow"/>
      <family val="2"/>
    </font>
  </fonts>
  <fills count="36">
    <fill>
      <patternFill patternType="none"/>
    </fill>
    <fill>
      <patternFill patternType="gray125"/>
    </fill>
    <fill>
      <patternFill patternType="solid">
        <fgColor theme="0" tint="-0.14999847407452621"/>
        <bgColor indexed="64"/>
      </patternFill>
    </fill>
    <fill>
      <patternFill patternType="solid">
        <fgColor rgb="FFA9D08E"/>
        <bgColor indexed="64"/>
      </patternFill>
    </fill>
    <fill>
      <patternFill patternType="solid">
        <fgColor theme="2" tint="-9.9978637043366805E-2"/>
        <bgColor indexed="64"/>
      </patternFill>
    </fill>
    <fill>
      <patternFill patternType="solid">
        <fgColor rgb="FFD9E1F2"/>
        <bgColor indexed="64"/>
      </patternFill>
    </fill>
    <fill>
      <patternFill patternType="solid">
        <fgColor theme="9" tint="0.79998168889431442"/>
        <bgColor indexed="64"/>
      </patternFill>
    </fill>
    <fill>
      <patternFill patternType="solid">
        <fgColor rgb="FF002060"/>
        <bgColor indexed="64"/>
      </patternFill>
    </fill>
    <fill>
      <patternFill patternType="solid">
        <fgColor theme="5"/>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D9E1F2"/>
        <bgColor rgb="FF000000"/>
      </patternFill>
    </fill>
    <fill>
      <patternFill patternType="solid">
        <fgColor rgb="FFDAF2D0"/>
        <bgColor rgb="FF000000"/>
      </patternFill>
    </fill>
    <fill>
      <patternFill patternType="solid">
        <fgColor rgb="FFA9D08E"/>
        <bgColor rgb="FF000000"/>
      </patternFill>
    </fill>
    <fill>
      <patternFill patternType="solid">
        <fgColor rgb="FFD9D9D9"/>
        <bgColor rgb="FF000000"/>
      </patternFill>
    </fill>
    <fill>
      <patternFill patternType="solid">
        <fgColor rgb="FFD0D0D0"/>
        <bgColor rgb="FF000000"/>
      </patternFill>
    </fill>
    <fill>
      <patternFill patternType="solid">
        <fgColor rgb="FFFFFF00"/>
        <bgColor rgb="FF000000"/>
      </patternFill>
    </fill>
    <fill>
      <patternFill patternType="solid">
        <fgColor rgb="FFF2F2F2"/>
        <bgColor rgb="FF000000"/>
      </patternFill>
    </fill>
    <fill>
      <patternFill patternType="solid">
        <fgColor rgb="FFC6EFCE"/>
        <bgColor rgb="FF000000"/>
      </patternFill>
    </fill>
    <fill>
      <patternFill patternType="solid">
        <fgColor theme="1" tint="0.499984740745262"/>
        <bgColor indexed="64"/>
      </patternFill>
    </fill>
    <fill>
      <patternFill patternType="solid">
        <fgColor theme="9" tint="0.79998168889431442"/>
        <bgColor rgb="FF000000"/>
      </patternFill>
    </fill>
    <fill>
      <patternFill patternType="solid">
        <fgColor rgb="FF7030A0"/>
        <bgColor rgb="FF000000"/>
      </patternFill>
    </fill>
    <fill>
      <patternFill patternType="solid">
        <fgColor rgb="FFFFFFFF"/>
        <bgColor rgb="FF000000"/>
      </patternFill>
    </fill>
    <fill>
      <patternFill patternType="solid">
        <fgColor rgb="FFE8E8E8"/>
        <bgColor rgb="FF000000"/>
      </patternFill>
    </fill>
    <fill>
      <patternFill patternType="solid">
        <fgColor rgb="FFFBE2D5"/>
        <bgColor rgb="FF000000"/>
      </patternFill>
    </fill>
    <fill>
      <patternFill patternType="solid">
        <fgColor rgb="FF7030A0"/>
        <bgColor indexed="64"/>
      </patternFill>
    </fill>
    <fill>
      <patternFill patternType="solid">
        <fgColor theme="8" tint="0.39997558519241921"/>
        <bgColor indexed="64"/>
      </patternFill>
    </fill>
    <fill>
      <patternFill patternType="solid">
        <fgColor theme="5" tint="0.79998168889431442"/>
        <bgColor indexed="64"/>
      </patternFill>
    </fill>
    <fill>
      <patternFill patternType="solid">
        <fgColor rgb="FFFEC2CB"/>
        <bgColor indexed="64"/>
      </patternFill>
    </fill>
    <fill>
      <patternFill patternType="solid">
        <fgColor theme="2"/>
        <bgColor indexed="64"/>
      </patternFill>
    </fill>
    <fill>
      <patternFill patternType="solid">
        <fgColor theme="2"/>
        <bgColor rgb="FF000000"/>
      </patternFill>
    </fill>
    <fill>
      <patternFill patternType="solid">
        <fgColor theme="0"/>
        <bgColor indexed="64"/>
      </patternFill>
    </fill>
    <fill>
      <patternFill patternType="solid">
        <fgColor theme="0"/>
        <bgColor rgb="FF000000"/>
      </patternFill>
    </fill>
    <fill>
      <patternFill patternType="solid">
        <fgColor rgb="FFFF0000"/>
        <bgColor indexed="64"/>
      </patternFill>
    </fill>
    <fill>
      <patternFill patternType="solid">
        <fgColor rgb="FFFEC2CB"/>
        <bgColor rgb="FF000000"/>
      </patternFill>
    </fill>
  </fills>
  <borders count="3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top/>
      <bottom style="thin">
        <color auto="1"/>
      </bottom>
      <diagonal/>
    </border>
    <border>
      <left style="thin">
        <color auto="1"/>
      </left>
      <right/>
      <top/>
      <bottom/>
      <diagonal/>
    </border>
    <border>
      <left/>
      <right/>
      <top/>
      <bottom style="thin">
        <color auto="1"/>
      </bottom>
      <diagonal/>
    </border>
    <border>
      <left style="thin">
        <color rgb="FF000000"/>
      </left>
      <right/>
      <top/>
      <bottom style="thin">
        <color auto="1"/>
      </bottom>
      <diagonal/>
    </border>
    <border>
      <left style="thin">
        <color auto="1"/>
      </left>
      <right style="thin">
        <color auto="1"/>
      </right>
      <top style="thin">
        <color auto="1"/>
      </top>
      <bottom/>
      <diagonal/>
    </border>
    <border>
      <left/>
      <right style="thin">
        <color indexed="64"/>
      </right>
      <top/>
      <bottom style="thin">
        <color indexed="64"/>
      </bottom>
      <diagonal/>
    </border>
    <border>
      <left/>
      <right style="thin">
        <color auto="1"/>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auto="1"/>
      </left>
      <right style="thin">
        <color auto="1"/>
      </right>
      <top style="thin">
        <color rgb="FF000000"/>
      </top>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indexed="64"/>
      </left>
      <right/>
      <top style="thin">
        <color indexed="64"/>
      </top>
      <bottom/>
      <diagonal/>
    </border>
    <border>
      <left/>
      <right/>
      <top style="thin">
        <color rgb="FF000000"/>
      </top>
      <bottom/>
      <diagonal/>
    </border>
    <border>
      <left style="thin">
        <color rgb="FF000000"/>
      </left>
      <right/>
      <top style="thin">
        <color rgb="FF000000"/>
      </top>
      <bottom/>
      <diagonal/>
    </border>
    <border>
      <left style="thin">
        <color rgb="FF747474"/>
      </left>
      <right style="thin">
        <color rgb="FF747474"/>
      </right>
      <top style="thin">
        <color rgb="FF747474"/>
      </top>
      <bottom style="thin">
        <color rgb="FF747474"/>
      </bottom>
      <diagonal/>
    </border>
    <border>
      <left style="thin">
        <color rgb="FF747474"/>
      </left>
      <right style="thin">
        <color rgb="FF747474"/>
      </right>
      <top style="thin">
        <color rgb="FF747474"/>
      </top>
      <bottom/>
      <diagonal/>
    </border>
    <border>
      <left style="thin">
        <color rgb="FF747474"/>
      </left>
      <right style="thin">
        <color rgb="FF747474"/>
      </right>
      <top/>
      <bottom style="thin">
        <color rgb="FF747474"/>
      </bottom>
      <diagonal/>
    </border>
    <border>
      <left style="thin">
        <color auto="1"/>
      </left>
      <right/>
      <top/>
      <bottom style="thin">
        <color theme="2" tint="-0.499984740745262"/>
      </bottom>
      <diagonal/>
    </border>
    <border>
      <left/>
      <right/>
      <top/>
      <bottom style="thin">
        <color theme="2" tint="-0.499984740745262"/>
      </bottom>
      <diagonal/>
    </border>
    <border>
      <left style="thin">
        <color theme="2" tint="-0.499984740745262"/>
      </left>
      <right style="thin">
        <color theme="2" tint="-0.499984740745262"/>
      </right>
      <top style="thin">
        <color theme="2" tint="-0.499984740745262"/>
      </top>
      <bottom style="thin">
        <color theme="2" tint="-0.499984740745262"/>
      </bottom>
      <diagonal/>
    </border>
    <border>
      <left/>
      <right style="thin">
        <color rgb="FF000000"/>
      </right>
      <top style="thin">
        <color rgb="FF000000"/>
      </top>
      <bottom/>
      <diagonal/>
    </border>
    <border>
      <left style="thin">
        <color auto="1"/>
      </left>
      <right style="thin">
        <color auto="1"/>
      </right>
      <top/>
      <bottom style="thin">
        <color rgb="FF000000"/>
      </bottom>
      <diagonal/>
    </border>
    <border>
      <left style="thin">
        <color indexed="64"/>
      </left>
      <right style="thin">
        <color rgb="FF000000"/>
      </right>
      <top style="thin">
        <color indexed="64"/>
      </top>
      <bottom/>
      <diagonal/>
    </border>
    <border>
      <left style="thin">
        <color indexed="64"/>
      </left>
      <right style="thin">
        <color rgb="FF000000"/>
      </right>
      <top/>
      <bottom style="thin">
        <color auto="1"/>
      </bottom>
      <diagonal/>
    </border>
    <border>
      <left style="thin">
        <color rgb="FF000000"/>
      </left>
      <right style="thin">
        <color auto="1"/>
      </right>
      <top/>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s>
  <cellStyleXfs count="2">
    <xf numFmtId="0" fontId="0" fillId="0" borderId="0"/>
    <xf numFmtId="0" fontId="30" fillId="0" borderId="0" applyNumberFormat="0" applyFill="0" applyBorder="0" applyAlignment="0" applyProtection="0"/>
  </cellStyleXfs>
  <cellXfs count="486">
    <xf numFmtId="0" fontId="0" fillId="0" borderId="0" xfId="0"/>
    <xf numFmtId="0" fontId="0" fillId="0" borderId="1" xfId="0" applyBorder="1"/>
    <xf numFmtId="0" fontId="2" fillId="3" borderId="1" xfId="0" applyFont="1" applyFill="1" applyBorder="1" applyAlignment="1">
      <alignment horizontal="left" vertical="center"/>
    </xf>
    <xf numFmtId="0" fontId="0" fillId="0" borderId="1" xfId="0" applyBorder="1" applyAlignment="1">
      <alignment horizontal="left"/>
    </xf>
    <xf numFmtId="0" fontId="1" fillId="4" borderId="1" xfId="0" applyFont="1" applyFill="1" applyBorder="1" applyAlignment="1">
      <alignment horizontal="left"/>
    </xf>
    <xf numFmtId="0" fontId="0" fillId="0" borderId="1" xfId="0" applyBorder="1" applyAlignment="1">
      <alignment horizontal="left" wrapText="1"/>
    </xf>
    <xf numFmtId="0" fontId="3" fillId="5" borderId="1" xfId="0" applyFont="1" applyFill="1" applyBorder="1" applyAlignment="1">
      <alignment vertical="center" wrapText="1"/>
    </xf>
    <xf numFmtId="0" fontId="0" fillId="0" borderId="1" xfId="0" applyBorder="1" applyAlignment="1">
      <alignment wrapText="1"/>
    </xf>
    <xf numFmtId="0" fontId="4" fillId="0" borderId="0" xfId="0" applyFont="1"/>
    <xf numFmtId="0" fontId="3" fillId="5" borderId="0" xfId="0" applyFont="1" applyFill="1" applyAlignment="1">
      <alignment vertical="center" wrapText="1"/>
    </xf>
    <xf numFmtId="0" fontId="0" fillId="6" borderId="1" xfId="0" applyFill="1" applyBorder="1"/>
    <xf numFmtId="0" fontId="0" fillId="6" borderId="1" xfId="0" applyFill="1" applyBorder="1" applyAlignment="1">
      <alignment wrapText="1"/>
    </xf>
    <xf numFmtId="0" fontId="3" fillId="5" borderId="1" xfId="0" applyFont="1" applyFill="1" applyBorder="1" applyAlignment="1">
      <alignment vertical="center"/>
    </xf>
    <xf numFmtId="0" fontId="0" fillId="6" borderId="1" xfId="0" quotePrefix="1" applyFill="1" applyBorder="1" applyAlignment="1">
      <alignment horizontal="center"/>
    </xf>
    <xf numFmtId="0" fontId="0" fillId="6" borderId="1" xfId="0" applyFill="1" applyBorder="1" applyAlignment="1">
      <alignment horizontal="center"/>
    </xf>
    <xf numFmtId="0" fontId="5" fillId="6" borderId="1" xfId="0" applyFont="1" applyFill="1" applyBorder="1" applyAlignment="1">
      <alignment vertical="center"/>
    </xf>
    <xf numFmtId="0" fontId="8" fillId="6" borderId="1" xfId="0" applyFont="1" applyFill="1" applyBorder="1" applyAlignment="1">
      <alignment vertical="center" wrapText="1"/>
    </xf>
    <xf numFmtId="0" fontId="4" fillId="6" borderId="1" xfId="0" applyFont="1" applyFill="1" applyBorder="1"/>
    <xf numFmtId="0" fontId="7" fillId="6" borderId="1" xfId="0" applyFont="1" applyFill="1" applyBorder="1"/>
    <xf numFmtId="0" fontId="1" fillId="4" borderId="6" xfId="0" applyFont="1" applyFill="1" applyBorder="1" applyAlignment="1">
      <alignment horizontal="left"/>
    </xf>
    <xf numFmtId="0" fontId="1" fillId="2" borderId="7" xfId="0" applyFont="1" applyFill="1" applyBorder="1" applyAlignment="1">
      <alignment horizontal="center"/>
    </xf>
    <xf numFmtId="0" fontId="3" fillId="5" borderId="6" xfId="0" applyFont="1" applyFill="1" applyBorder="1" applyAlignment="1">
      <alignment vertical="center" wrapText="1"/>
    </xf>
    <xf numFmtId="0" fontId="1" fillId="4" borderId="1" xfId="0" applyFont="1" applyFill="1" applyBorder="1" applyAlignment="1">
      <alignment horizontal="center"/>
    </xf>
    <xf numFmtId="0" fontId="3" fillId="5" borderId="5" xfId="0" applyFont="1" applyFill="1" applyBorder="1" applyAlignment="1">
      <alignment vertical="center" wrapText="1"/>
    </xf>
    <xf numFmtId="0" fontId="0" fillId="6" borderId="1" xfId="0" quotePrefix="1" applyFill="1" applyBorder="1" applyAlignment="1">
      <alignment wrapText="1"/>
    </xf>
    <xf numFmtId="0" fontId="0" fillId="0" borderId="0" xfId="0" applyAlignment="1">
      <alignment horizontal="left" wrapText="1"/>
    </xf>
    <xf numFmtId="0" fontId="0" fillId="0" borderId="0" xfId="0" applyAlignment="1">
      <alignment vertical="center" wrapText="1"/>
    </xf>
    <xf numFmtId="0" fontId="1" fillId="0" borderId="0" xfId="0" applyFont="1" applyAlignment="1">
      <alignment vertical="center" wrapText="1"/>
    </xf>
    <xf numFmtId="0" fontId="1" fillId="2" borderId="8" xfId="0" applyFont="1" applyFill="1" applyBorder="1" applyAlignment="1">
      <alignment horizontal="center"/>
    </xf>
    <xf numFmtId="0" fontId="0" fillId="8" borderId="1" xfId="0" applyFill="1" applyBorder="1"/>
    <xf numFmtId="0" fontId="0" fillId="8" borderId="0" xfId="0" applyFill="1"/>
    <xf numFmtId="0" fontId="0" fillId="8" borderId="1" xfId="0" applyFill="1" applyBorder="1" applyAlignment="1">
      <alignment wrapText="1"/>
    </xf>
    <xf numFmtId="0" fontId="1" fillId="2" borderId="1" xfId="0" applyFont="1" applyFill="1" applyBorder="1"/>
    <xf numFmtId="0" fontId="0" fillId="9" borderId="1" xfId="0" applyFill="1" applyBorder="1" applyAlignment="1">
      <alignment horizontal="left"/>
    </xf>
    <xf numFmtId="0" fontId="7" fillId="0" borderId="0" xfId="0" applyFont="1"/>
    <xf numFmtId="0" fontId="12" fillId="0" borderId="0" xfId="0" applyFont="1" applyAlignment="1">
      <alignment horizontal="left"/>
    </xf>
    <xf numFmtId="0" fontId="0" fillId="9" borderId="1" xfId="0" applyFill="1" applyBorder="1"/>
    <xf numFmtId="0" fontId="1" fillId="0" borderId="1" xfId="0" applyFont="1" applyBorder="1"/>
    <xf numFmtId="0" fontId="0" fillId="0" borderId="0" xfId="0" applyAlignment="1">
      <alignment wrapText="1"/>
    </xf>
    <xf numFmtId="0" fontId="13" fillId="7" borderId="0" xfId="0" applyFont="1" applyFill="1" applyAlignment="1">
      <alignment horizontal="left"/>
    </xf>
    <xf numFmtId="0" fontId="13" fillId="7" borderId="0" xfId="0" applyFont="1" applyFill="1" applyAlignment="1">
      <alignment horizontal="left" wrapText="1"/>
    </xf>
    <xf numFmtId="0" fontId="10" fillId="7" borderId="15" xfId="0" applyFont="1" applyFill="1" applyBorder="1" applyAlignment="1">
      <alignment wrapText="1"/>
    </xf>
    <xf numFmtId="0" fontId="10" fillId="7" borderId="15" xfId="0" applyFont="1" applyFill="1" applyBorder="1" applyAlignment="1">
      <alignment vertical="center"/>
    </xf>
    <xf numFmtId="0" fontId="0" fillId="0" borderId="0" xfId="0" applyAlignment="1">
      <alignment vertical="center"/>
    </xf>
    <xf numFmtId="0" fontId="0" fillId="0" borderId="0" xfId="0" applyAlignment="1">
      <alignment horizontal="center"/>
    </xf>
    <xf numFmtId="0" fontId="13" fillId="7" borderId="0" xfId="0" applyFont="1" applyFill="1" applyAlignment="1">
      <alignment horizontal="center"/>
    </xf>
    <xf numFmtId="0" fontId="5" fillId="6" borderId="1" xfId="0" quotePrefix="1" applyFont="1" applyFill="1" applyBorder="1" applyAlignment="1">
      <alignment vertical="center"/>
    </xf>
    <xf numFmtId="0" fontId="0" fillId="0" borderId="0" xfId="0" applyProtection="1">
      <protection locked="0"/>
    </xf>
    <xf numFmtId="0" fontId="2" fillId="3" borderId="1" xfId="0" applyFont="1" applyFill="1" applyBorder="1" applyAlignment="1" applyProtection="1">
      <alignment horizontal="left" vertical="center"/>
      <protection locked="0"/>
    </xf>
    <xf numFmtId="0" fontId="0" fillId="0" borderId="1" xfId="0" applyBorder="1" applyProtection="1">
      <protection locked="0"/>
    </xf>
    <xf numFmtId="0" fontId="11" fillId="0" borderId="0" xfId="0" applyFont="1" applyProtection="1">
      <protection locked="0"/>
    </xf>
    <xf numFmtId="0" fontId="3" fillId="5" borderId="1" xfId="0" applyFont="1" applyFill="1" applyBorder="1" applyAlignment="1" applyProtection="1">
      <alignment vertical="center" wrapText="1"/>
      <protection locked="0"/>
    </xf>
    <xf numFmtId="0" fontId="0" fillId="0" borderId="1" xfId="0" applyBorder="1" applyAlignment="1" applyProtection="1">
      <alignment horizontal="left"/>
      <protection locked="0"/>
    </xf>
    <xf numFmtId="0" fontId="0" fillId="9" borderId="1" xfId="0" applyFill="1" applyBorder="1" applyProtection="1">
      <protection locked="0"/>
    </xf>
    <xf numFmtId="0" fontId="0" fillId="9" borderId="0" xfId="0" applyFill="1" applyProtection="1">
      <protection locked="0"/>
    </xf>
    <xf numFmtId="0" fontId="0" fillId="9" borderId="1" xfId="0" applyFill="1" applyBorder="1" applyAlignment="1" applyProtection="1">
      <alignment horizontal="left"/>
      <protection locked="0"/>
    </xf>
    <xf numFmtId="0" fontId="0" fillId="0" borderId="1" xfId="0" applyBorder="1" applyAlignment="1" applyProtection="1">
      <alignment wrapText="1"/>
      <protection locked="0"/>
    </xf>
    <xf numFmtId="0" fontId="0" fillId="9" borderId="1" xfId="0" applyFill="1" applyBorder="1" applyAlignment="1" applyProtection="1">
      <alignment wrapText="1"/>
      <protection locked="0"/>
    </xf>
    <xf numFmtId="0" fontId="7" fillId="0" borderId="0" xfId="0" applyFont="1" applyProtection="1">
      <protection locked="0"/>
    </xf>
    <xf numFmtId="0" fontId="0" fillId="0" borderId="0" xfId="0" applyAlignment="1" applyProtection="1">
      <alignment horizontal="center"/>
      <protection locked="0"/>
    </xf>
    <xf numFmtId="0" fontId="0" fillId="0" borderId="0" xfId="0" applyAlignment="1" applyProtection="1">
      <alignment wrapText="1"/>
      <protection locked="0"/>
    </xf>
    <xf numFmtId="0" fontId="0" fillId="6" borderId="1" xfId="0" applyFill="1" applyBorder="1" applyAlignment="1">
      <alignment horizontal="center" wrapText="1"/>
    </xf>
    <xf numFmtId="0" fontId="0" fillId="0" borderId="0" xfId="0" applyAlignment="1">
      <alignment horizontal="left"/>
    </xf>
    <xf numFmtId="0" fontId="0" fillId="0" borderId="0" xfId="0" applyAlignment="1" applyProtection="1">
      <alignment horizontal="left"/>
      <protection locked="0"/>
    </xf>
    <xf numFmtId="0" fontId="0" fillId="6" borderId="1" xfId="0" applyFill="1" applyBorder="1" applyAlignment="1">
      <alignment vertical="center"/>
    </xf>
    <xf numFmtId="0" fontId="3" fillId="5" borderId="1" xfId="0" applyFont="1" applyFill="1" applyBorder="1" applyAlignment="1">
      <alignment horizontal="left" vertical="center" wrapText="1"/>
    </xf>
    <xf numFmtId="0" fontId="3" fillId="5" borderId="1" xfId="0" applyFont="1" applyFill="1" applyBorder="1" applyAlignment="1" applyProtection="1">
      <alignment horizontal="left" vertical="center" wrapText="1"/>
      <protection locked="0"/>
    </xf>
    <xf numFmtId="0" fontId="0" fillId="10" borderId="1" xfId="0" applyFill="1" applyBorder="1" applyAlignment="1" applyProtection="1">
      <alignment horizontal="left"/>
      <protection locked="0"/>
    </xf>
    <xf numFmtId="0" fontId="0" fillId="10" borderId="1" xfId="0" applyFill="1" applyBorder="1" applyProtection="1">
      <protection locked="0"/>
    </xf>
    <xf numFmtId="0" fontId="0" fillId="10" borderId="1" xfId="0" applyFill="1" applyBorder="1"/>
    <xf numFmtId="0" fontId="1" fillId="10" borderId="1" xfId="0" applyFont="1" applyFill="1" applyBorder="1" applyAlignment="1">
      <alignment horizontal="left"/>
    </xf>
    <xf numFmtId="0" fontId="1" fillId="10" borderId="1" xfId="0" applyFont="1" applyFill="1" applyBorder="1"/>
    <xf numFmtId="0" fontId="14" fillId="0" borderId="0" xfId="0" applyFont="1"/>
    <xf numFmtId="0" fontId="0" fillId="0" borderId="1" xfId="0" applyBorder="1" applyAlignment="1">
      <alignment vertical="center"/>
    </xf>
    <xf numFmtId="0" fontId="14" fillId="13" borderId="6" xfId="0" applyFont="1" applyFill="1" applyBorder="1" applyAlignment="1">
      <alignment wrapText="1"/>
    </xf>
    <xf numFmtId="0" fontId="14" fillId="13" borderId="16" xfId="0" applyFont="1" applyFill="1" applyBorder="1" applyAlignment="1">
      <alignment wrapText="1"/>
    </xf>
    <xf numFmtId="0" fontId="15" fillId="13" borderId="16" xfId="0" applyFont="1" applyFill="1" applyBorder="1" applyAlignment="1">
      <alignment wrapText="1"/>
    </xf>
    <xf numFmtId="0" fontId="1" fillId="4" borderId="6" xfId="0" applyFont="1" applyFill="1" applyBorder="1" applyAlignment="1">
      <alignment horizontal="left" wrapText="1"/>
    </xf>
    <xf numFmtId="0" fontId="0" fillId="10" borderId="1" xfId="0" applyFill="1" applyBorder="1" applyAlignment="1">
      <alignment horizontal="left" wrapText="1"/>
    </xf>
    <xf numFmtId="0" fontId="3" fillId="12" borderId="1" xfId="0" applyFont="1" applyFill="1" applyBorder="1" applyAlignment="1">
      <alignment wrapText="1"/>
    </xf>
    <xf numFmtId="0" fontId="8" fillId="13" borderId="4" xfId="0" applyFont="1" applyFill="1" applyBorder="1" applyAlignment="1">
      <alignment wrapText="1"/>
    </xf>
    <xf numFmtId="0" fontId="3" fillId="12" borderId="6" xfId="0" applyFont="1" applyFill="1" applyBorder="1" applyAlignment="1">
      <alignment wrapText="1"/>
    </xf>
    <xf numFmtId="0" fontId="8" fillId="13" borderId="16" xfId="0" applyFont="1" applyFill="1" applyBorder="1" applyAlignment="1">
      <alignment wrapText="1"/>
    </xf>
    <xf numFmtId="0" fontId="3" fillId="11" borderId="1" xfId="0" applyFont="1" applyFill="1" applyBorder="1" applyAlignment="1">
      <alignment vertical="center" wrapText="1"/>
    </xf>
    <xf numFmtId="0" fontId="5" fillId="6" borderId="1" xfId="0" applyFont="1" applyFill="1" applyBorder="1" applyAlignment="1">
      <alignment vertical="center" wrapText="1"/>
    </xf>
    <xf numFmtId="0" fontId="8" fillId="13" borderId="1" xfId="0" applyFont="1" applyFill="1" applyBorder="1" applyAlignment="1">
      <alignment wrapText="1"/>
    </xf>
    <xf numFmtId="0" fontId="5" fillId="13" borderId="16" xfId="0" applyFont="1" applyFill="1" applyBorder="1"/>
    <xf numFmtId="0" fontId="5" fillId="6" borderId="1" xfId="0" applyFont="1" applyFill="1" applyBorder="1" applyAlignment="1">
      <alignment horizontal="left" vertical="center"/>
    </xf>
    <xf numFmtId="0" fontId="17" fillId="0" borderId="1" xfId="0" applyFont="1" applyBorder="1"/>
    <xf numFmtId="0" fontId="2" fillId="14" borderId="1" xfId="0" applyFont="1" applyFill="1" applyBorder="1" applyAlignment="1">
      <alignment horizontal="left" vertical="center"/>
    </xf>
    <xf numFmtId="0" fontId="18" fillId="0" borderId="1" xfId="0" applyFont="1" applyBorder="1"/>
    <xf numFmtId="0" fontId="18" fillId="0" borderId="0" xfId="0" applyFont="1"/>
    <xf numFmtId="0" fontId="18" fillId="0" borderId="1" xfId="0" applyFont="1" applyBorder="1" applyAlignment="1">
      <alignment horizontal="left" wrapText="1"/>
    </xf>
    <xf numFmtId="0" fontId="3" fillId="12" borderId="1" xfId="0" applyFont="1" applyFill="1" applyBorder="1" applyAlignment="1">
      <alignment vertical="center" wrapText="1"/>
    </xf>
    <xf numFmtId="0" fontId="18" fillId="0" borderId="1" xfId="0" applyFont="1" applyBorder="1" applyAlignment="1">
      <alignment wrapText="1"/>
    </xf>
    <xf numFmtId="0" fontId="5" fillId="13" borderId="1" xfId="0" applyFont="1" applyFill="1" applyBorder="1" applyAlignment="1">
      <alignment vertical="center" wrapText="1"/>
    </xf>
    <xf numFmtId="0" fontId="5" fillId="13" borderId="1" xfId="0" applyFont="1" applyFill="1" applyBorder="1" applyAlignment="1">
      <alignment vertical="center"/>
    </xf>
    <xf numFmtId="0" fontId="18" fillId="13" borderId="1" xfId="0" applyFont="1" applyFill="1" applyBorder="1" applyAlignment="1">
      <alignment wrapText="1"/>
    </xf>
    <xf numFmtId="164" fontId="0" fillId="0" borderId="0" xfId="0" applyNumberFormat="1" applyAlignment="1">
      <alignment horizontal="center"/>
    </xf>
    <xf numFmtId="0" fontId="18" fillId="0" borderId="0" xfId="0" applyFont="1" applyAlignment="1">
      <alignment wrapText="1"/>
    </xf>
    <xf numFmtId="0" fontId="18" fillId="0" borderId="0" xfId="0" applyFont="1" applyAlignment="1">
      <alignment horizontal="center"/>
    </xf>
    <xf numFmtId="164" fontId="13" fillId="7" borderId="0" xfId="0" applyNumberFormat="1" applyFont="1" applyFill="1" applyAlignment="1">
      <alignment horizontal="center"/>
    </xf>
    <xf numFmtId="164" fontId="0" fillId="0" borderId="0" xfId="0" applyNumberFormat="1" applyAlignment="1" applyProtection="1">
      <alignment horizontal="center"/>
      <protection locked="0"/>
    </xf>
    <xf numFmtId="0" fontId="0" fillId="10" borderId="1" xfId="0" applyFill="1" applyBorder="1" applyAlignment="1">
      <alignment horizontal="left"/>
    </xf>
    <xf numFmtId="0" fontId="14" fillId="13" borderId="16" xfId="0" applyFont="1" applyFill="1" applyBorder="1"/>
    <xf numFmtId="0" fontId="14" fillId="13" borderId="6" xfId="0" applyFont="1" applyFill="1" applyBorder="1"/>
    <xf numFmtId="0" fontId="21" fillId="6" borderId="1" xfId="0" applyFont="1" applyFill="1" applyBorder="1" applyAlignment="1">
      <alignment vertical="center"/>
    </xf>
    <xf numFmtId="0" fontId="3" fillId="0" borderId="1" xfId="0" applyFont="1" applyBorder="1" applyAlignment="1">
      <alignment vertical="center" wrapText="1"/>
    </xf>
    <xf numFmtId="0" fontId="14" fillId="13" borderId="1" xfId="0" applyFont="1" applyFill="1" applyBorder="1"/>
    <xf numFmtId="0" fontId="14" fillId="17" borderId="6" xfId="0" applyFont="1" applyFill="1" applyBorder="1"/>
    <xf numFmtId="0" fontId="14" fillId="13" borderId="4" xfId="0" applyFont="1" applyFill="1" applyBorder="1"/>
    <xf numFmtId="0" fontId="14" fillId="17" borderId="16" xfId="0" applyFont="1" applyFill="1" applyBorder="1"/>
    <xf numFmtId="0" fontId="15" fillId="18" borderId="1" xfId="0" applyFont="1" applyFill="1" applyBorder="1"/>
    <xf numFmtId="0" fontId="15" fillId="18" borderId="6" xfId="0" applyFont="1" applyFill="1" applyBorder="1"/>
    <xf numFmtId="0" fontId="15" fillId="17" borderId="6" xfId="0" applyFont="1" applyFill="1" applyBorder="1"/>
    <xf numFmtId="0" fontId="22" fillId="17" borderId="0" xfId="0" applyFont="1" applyFill="1"/>
    <xf numFmtId="0" fontId="3" fillId="12" borderId="4" xfId="0" applyFont="1" applyFill="1" applyBorder="1" applyAlignment="1">
      <alignment wrapText="1"/>
    </xf>
    <xf numFmtId="0" fontId="14" fillId="0" borderId="1" xfId="0" applyFont="1" applyBorder="1"/>
    <xf numFmtId="0" fontId="14" fillId="0" borderId="4" xfId="0" applyFont="1" applyBorder="1"/>
    <xf numFmtId="0" fontId="3" fillId="12" borderId="16" xfId="0" applyFont="1" applyFill="1" applyBorder="1" applyAlignment="1">
      <alignment wrapText="1"/>
    </xf>
    <xf numFmtId="0" fontId="14" fillId="0" borderId="6" xfId="0" applyFont="1" applyBorder="1"/>
    <xf numFmtId="0" fontId="14" fillId="0" borderId="16" xfId="0" applyFont="1" applyBorder="1"/>
    <xf numFmtId="0" fontId="23" fillId="19" borderId="1" xfId="0" applyFont="1" applyFill="1" applyBorder="1"/>
    <xf numFmtId="0" fontId="3" fillId="12" borderId="6" xfId="0" applyFont="1" applyFill="1" applyBorder="1"/>
    <xf numFmtId="0" fontId="14" fillId="18" borderId="6" xfId="0" applyFont="1" applyFill="1" applyBorder="1"/>
    <xf numFmtId="0" fontId="22" fillId="17" borderId="6" xfId="0" applyFont="1" applyFill="1" applyBorder="1"/>
    <xf numFmtId="0" fontId="5" fillId="0" borderId="1" xfId="0" applyFont="1" applyBorder="1" applyAlignment="1">
      <alignment vertical="center"/>
    </xf>
    <xf numFmtId="0" fontId="3" fillId="20" borderId="1" xfId="0" applyFont="1" applyFill="1" applyBorder="1" applyAlignment="1">
      <alignment vertical="center" wrapText="1"/>
    </xf>
    <xf numFmtId="0" fontId="5" fillId="20" borderId="1" xfId="0" applyFont="1" applyFill="1" applyBorder="1" applyAlignment="1">
      <alignment vertical="center"/>
    </xf>
    <xf numFmtId="0" fontId="0" fillId="20" borderId="0" xfId="0" applyFill="1"/>
    <xf numFmtId="0" fontId="24" fillId="6" borderId="1" xfId="0" applyFont="1" applyFill="1" applyBorder="1" applyAlignment="1">
      <alignment vertical="center"/>
    </xf>
    <xf numFmtId="0" fontId="14" fillId="21" borderId="16" xfId="0" applyFont="1" applyFill="1" applyBorder="1"/>
    <xf numFmtId="0" fontId="25" fillId="6" borderId="1" xfId="0" applyFont="1" applyFill="1" applyBorder="1" applyAlignment="1">
      <alignment vertical="center"/>
    </xf>
    <xf numFmtId="0" fontId="20" fillId="0" borderId="0" xfId="0" applyFont="1"/>
    <xf numFmtId="0" fontId="25" fillId="6" borderId="1" xfId="0" applyFont="1" applyFill="1" applyBorder="1" applyAlignment="1">
      <alignment horizontal="left" vertical="center"/>
    </xf>
    <xf numFmtId="0" fontId="26" fillId="13" borderId="16" xfId="0" applyFont="1" applyFill="1" applyBorder="1"/>
    <xf numFmtId="0" fontId="21" fillId="13" borderId="16" xfId="0" applyFont="1" applyFill="1" applyBorder="1"/>
    <xf numFmtId="0" fontId="26" fillId="0" borderId="0" xfId="0" applyFont="1"/>
    <xf numFmtId="0" fontId="26" fillId="13" borderId="6" xfId="0" applyFont="1" applyFill="1" applyBorder="1"/>
    <xf numFmtId="0" fontId="21" fillId="12" borderId="6" xfId="0" applyFont="1" applyFill="1" applyBorder="1"/>
    <xf numFmtId="0" fontId="27" fillId="12" borderId="6" xfId="0" applyFont="1" applyFill="1" applyBorder="1"/>
    <xf numFmtId="0" fontId="29" fillId="22" borderId="0" xfId="0" applyFont="1" applyFill="1"/>
    <xf numFmtId="0" fontId="18" fillId="23" borderId="1" xfId="0" applyFont="1" applyFill="1" applyBorder="1"/>
    <xf numFmtId="0" fontId="18" fillId="13" borderId="1" xfId="0" applyFont="1" applyFill="1" applyBorder="1"/>
    <xf numFmtId="0" fontId="30" fillId="0" borderId="0" xfId="1"/>
    <xf numFmtId="0" fontId="0" fillId="0" borderId="18" xfId="0" applyBorder="1" applyAlignment="1">
      <alignment vertical="center"/>
    </xf>
    <xf numFmtId="0" fontId="0" fillId="0" borderId="18" xfId="0" applyBorder="1" applyAlignment="1">
      <alignment wrapText="1"/>
    </xf>
    <xf numFmtId="0" fontId="0" fillId="6" borderId="18" xfId="0" applyFill="1" applyBorder="1" applyAlignment="1">
      <alignment vertical="center"/>
    </xf>
    <xf numFmtId="0" fontId="0" fillId="0" borderId="18" xfId="0" applyBorder="1" applyAlignment="1">
      <alignment vertical="center" wrapText="1"/>
    </xf>
    <xf numFmtId="0" fontId="0" fillId="0" borderId="18" xfId="0" applyBorder="1" applyAlignment="1" applyProtection="1">
      <alignment vertical="center"/>
      <protection locked="0"/>
    </xf>
    <xf numFmtId="0" fontId="0" fillId="0" borderId="18" xfId="0" applyBorder="1" applyAlignment="1" applyProtection="1">
      <alignment wrapText="1"/>
      <protection locked="0"/>
    </xf>
    <xf numFmtId="0" fontId="0" fillId="6" borderId="18" xfId="0" applyFill="1" applyBorder="1" applyAlignment="1" applyProtection="1">
      <alignment vertical="center"/>
      <protection locked="0"/>
    </xf>
    <xf numFmtId="0" fontId="0" fillId="6" borderId="18" xfId="0" applyFill="1" applyBorder="1" applyAlignment="1">
      <alignment vertical="center" wrapText="1"/>
    </xf>
    <xf numFmtId="0" fontId="0" fillId="2" borderId="18" xfId="0" applyFill="1" applyBorder="1" applyAlignment="1">
      <alignment vertical="center"/>
    </xf>
    <xf numFmtId="0" fontId="0" fillId="0" borderId="18" xfId="0" applyBorder="1"/>
    <xf numFmtId="0" fontId="18" fillId="0" borderId="18" xfId="0" applyFont="1" applyBorder="1" applyAlignment="1">
      <alignment wrapText="1"/>
    </xf>
    <xf numFmtId="0" fontId="18" fillId="0" borderId="18" xfId="0" applyFont="1" applyBorder="1" applyAlignment="1">
      <alignment horizontal="left" wrapText="1"/>
    </xf>
    <xf numFmtId="0" fontId="19" fillId="0" borderId="7" xfId="0" applyFont="1" applyBorder="1"/>
    <xf numFmtId="0" fontId="18" fillId="0" borderId="7" xfId="0" applyFont="1" applyBorder="1"/>
    <xf numFmtId="0" fontId="18" fillId="0" borderId="7" xfId="0" applyFont="1" applyBorder="1" applyAlignment="1">
      <alignment horizontal="left"/>
    </xf>
    <xf numFmtId="0" fontId="3" fillId="12" borderId="5" xfId="0" applyFont="1" applyFill="1" applyBorder="1" applyAlignment="1">
      <alignment vertical="center" wrapText="1"/>
    </xf>
    <xf numFmtId="0" fontId="8" fillId="12" borderId="6" xfId="0" applyFont="1" applyFill="1" applyBorder="1" applyAlignment="1">
      <alignment vertical="center" wrapText="1"/>
    </xf>
    <xf numFmtId="0" fontId="3" fillId="12" borderId="15" xfId="0" applyFont="1" applyFill="1" applyBorder="1" applyAlignment="1">
      <alignment vertical="center" wrapText="1"/>
    </xf>
    <xf numFmtId="0" fontId="8" fillId="12" borderId="5" xfId="0" applyFont="1" applyFill="1" applyBorder="1" applyAlignment="1">
      <alignment vertical="center" wrapText="1"/>
    </xf>
    <xf numFmtId="0" fontId="2" fillId="14" borderId="2" xfId="0" applyFont="1" applyFill="1" applyBorder="1" applyAlignment="1">
      <alignment horizontal="left" vertical="center"/>
    </xf>
    <xf numFmtId="0" fontId="18" fillId="0" borderId="21" xfId="0" applyFont="1" applyBorder="1" applyAlignment="1">
      <alignment horizontal="left"/>
    </xf>
    <xf numFmtId="0" fontId="32" fillId="0" borderId="1" xfId="0" applyFont="1" applyBorder="1" applyAlignment="1">
      <alignment vertical="center"/>
    </xf>
    <xf numFmtId="0" fontId="19" fillId="0" borderId="8" xfId="0" applyFont="1" applyBorder="1"/>
    <xf numFmtId="0" fontId="24" fillId="24" borderId="1" xfId="0" applyFont="1" applyFill="1" applyBorder="1" applyAlignment="1">
      <alignment wrapText="1"/>
    </xf>
    <xf numFmtId="0" fontId="24" fillId="24" borderId="4" xfId="0" applyFont="1" applyFill="1" applyBorder="1" applyAlignment="1">
      <alignment wrapText="1"/>
    </xf>
    <xf numFmtId="0" fontId="18" fillId="0" borderId="23" xfId="0" applyFont="1" applyBorder="1" applyAlignment="1">
      <alignment horizontal="left"/>
    </xf>
    <xf numFmtId="14" fontId="18" fillId="0" borderId="7" xfId="0" applyNumberFormat="1" applyFont="1" applyBorder="1" applyAlignment="1">
      <alignment horizontal="left"/>
    </xf>
    <xf numFmtId="0" fontId="19" fillId="23" borderId="1" xfId="0" applyFont="1" applyFill="1" applyBorder="1"/>
    <xf numFmtId="0" fontId="18" fillId="23" borderId="1" xfId="0" applyFont="1" applyFill="1" applyBorder="1" applyAlignment="1">
      <alignment horizontal="left" wrapText="1"/>
    </xf>
    <xf numFmtId="0" fontId="18" fillId="13" borderId="2" xfId="0" applyFont="1" applyFill="1" applyBorder="1"/>
    <xf numFmtId="0" fontId="9" fillId="25" borderId="25" xfId="0" applyFont="1" applyFill="1" applyBorder="1"/>
    <xf numFmtId="0" fontId="3" fillId="12" borderId="1" xfId="0" applyFont="1" applyFill="1" applyBorder="1" applyAlignment="1">
      <alignment vertical="center"/>
    </xf>
    <xf numFmtId="0" fontId="35" fillId="26" borderId="1" xfId="0" applyFont="1" applyFill="1" applyBorder="1" applyAlignment="1">
      <alignment horizontal="left" vertical="center"/>
    </xf>
    <xf numFmtId="0" fontId="10" fillId="26" borderId="2" xfId="0" applyFont="1" applyFill="1" applyBorder="1" applyAlignment="1">
      <alignment horizontal="center" vertical="center"/>
    </xf>
    <xf numFmtId="0" fontId="1" fillId="4" borderId="1" xfId="0" applyFont="1" applyFill="1" applyBorder="1" applyAlignment="1">
      <alignment horizontal="center" wrapText="1"/>
    </xf>
    <xf numFmtId="0" fontId="0" fillId="6" borderId="18" xfId="0" applyFill="1" applyBorder="1"/>
    <xf numFmtId="0" fontId="10" fillId="7" borderId="15" xfId="0" applyFont="1" applyFill="1" applyBorder="1" applyAlignment="1">
      <alignment vertical="center" wrapText="1"/>
    </xf>
    <xf numFmtId="0" fontId="37" fillId="13" borderId="16" xfId="0" applyFont="1" applyFill="1" applyBorder="1"/>
    <xf numFmtId="0" fontId="38" fillId="13" borderId="16" xfId="0" applyFont="1" applyFill="1" applyBorder="1"/>
    <xf numFmtId="0" fontId="37" fillId="0" borderId="0" xfId="0" applyFont="1"/>
    <xf numFmtId="0" fontId="37" fillId="13" borderId="6" xfId="0" applyFont="1" applyFill="1" applyBorder="1"/>
    <xf numFmtId="0" fontId="39" fillId="12" borderId="6" xfId="0" applyFont="1" applyFill="1" applyBorder="1"/>
    <xf numFmtId="0" fontId="37" fillId="13" borderId="16" xfId="0" applyFont="1" applyFill="1" applyBorder="1" applyAlignment="1">
      <alignment wrapText="1"/>
    </xf>
    <xf numFmtId="0" fontId="37" fillId="21" borderId="16" xfId="0" applyFont="1" applyFill="1" applyBorder="1"/>
    <xf numFmtId="0" fontId="38" fillId="21" borderId="16" xfId="0" applyFont="1" applyFill="1" applyBorder="1"/>
    <xf numFmtId="0" fontId="37" fillId="21" borderId="6" xfId="0" applyFont="1" applyFill="1" applyBorder="1"/>
    <xf numFmtId="0" fontId="7" fillId="9" borderId="1" xfId="0" applyFont="1" applyFill="1" applyBorder="1"/>
    <xf numFmtId="0" fontId="4" fillId="9" borderId="1" xfId="0" applyFont="1" applyFill="1" applyBorder="1"/>
    <xf numFmtId="0" fontId="7" fillId="0" borderId="22" xfId="0" applyFont="1" applyBorder="1"/>
    <xf numFmtId="16" fontId="7" fillId="0" borderId="7" xfId="0" applyNumberFormat="1" applyFont="1" applyBorder="1" applyAlignment="1">
      <alignment horizontal="left"/>
    </xf>
    <xf numFmtId="0" fontId="7" fillId="0" borderId="7" xfId="0" applyFont="1" applyBorder="1"/>
    <xf numFmtId="0" fontId="0" fillId="6" borderId="1" xfId="0" applyFill="1" applyBorder="1" applyAlignment="1">
      <alignment vertical="top" wrapText="1"/>
    </xf>
    <xf numFmtId="0" fontId="0" fillId="6" borderId="1" xfId="0" applyFill="1" applyBorder="1" applyAlignment="1">
      <alignment vertical="top"/>
    </xf>
    <xf numFmtId="0" fontId="40" fillId="12" borderId="1" xfId="0" applyFont="1" applyFill="1" applyBorder="1" applyAlignment="1">
      <alignment vertical="center" wrapText="1"/>
    </xf>
    <xf numFmtId="0" fontId="34" fillId="0" borderId="0" xfId="0" applyFont="1"/>
    <xf numFmtId="0" fontId="41" fillId="6" borderId="7" xfId="0" applyFont="1" applyFill="1" applyBorder="1"/>
    <xf numFmtId="0" fontId="42" fillId="0" borderId="1" xfId="0" applyFont="1" applyBorder="1" applyAlignment="1">
      <alignment wrapText="1"/>
    </xf>
    <xf numFmtId="0" fontId="43" fillId="0" borderId="1" xfId="0" applyFont="1" applyBorder="1" applyAlignment="1">
      <alignment wrapText="1"/>
    </xf>
    <xf numFmtId="164" fontId="43" fillId="0" borderId="1" xfId="0" applyNumberFormat="1" applyFont="1" applyBorder="1" applyAlignment="1">
      <alignment horizontal="left" wrapText="1"/>
    </xf>
    <xf numFmtId="16" fontId="43" fillId="0" borderId="1" xfId="0" applyNumberFormat="1" applyFont="1" applyBorder="1" applyAlignment="1">
      <alignment wrapText="1"/>
    </xf>
    <xf numFmtId="0" fontId="44" fillId="6" borderId="1" xfId="0" applyFont="1" applyFill="1" applyBorder="1" applyAlignment="1">
      <alignment horizontal="left" vertical="center"/>
    </xf>
    <xf numFmtId="0" fontId="43" fillId="0" borderId="1" xfId="0" applyFont="1" applyBorder="1" applyAlignment="1" applyProtection="1">
      <alignment wrapText="1"/>
      <protection locked="0"/>
    </xf>
    <xf numFmtId="0" fontId="44" fillId="6" borderId="1" xfId="0" applyFont="1" applyFill="1" applyBorder="1" applyAlignment="1" applyProtection="1">
      <alignment horizontal="left" vertical="center"/>
      <protection locked="0"/>
    </xf>
    <xf numFmtId="0" fontId="43" fillId="0" borderId="1" xfId="0" applyFont="1" applyBorder="1" applyAlignment="1">
      <alignment horizontal="left" wrapText="1"/>
    </xf>
    <xf numFmtId="0" fontId="0" fillId="0" borderId="2" xfId="0" applyBorder="1" applyProtection="1">
      <protection locked="0"/>
    </xf>
    <xf numFmtId="0" fontId="2" fillId="3" borderId="0" xfId="0" applyFont="1" applyFill="1" applyAlignment="1">
      <alignment horizontal="left" vertical="center"/>
    </xf>
    <xf numFmtId="0" fontId="1" fillId="4" borderId="2" xfId="0" applyFont="1" applyFill="1" applyBorder="1" applyAlignment="1">
      <alignment horizontal="left"/>
    </xf>
    <xf numFmtId="0" fontId="1" fillId="9" borderId="32" xfId="0" applyFont="1" applyFill="1" applyBorder="1" applyAlignment="1">
      <alignment horizontal="left"/>
    </xf>
    <xf numFmtId="0" fontId="0" fillId="9" borderId="32" xfId="0" applyFill="1" applyBorder="1" applyProtection="1">
      <protection locked="0"/>
    </xf>
    <xf numFmtId="0" fontId="0" fillId="9" borderId="2" xfId="0" applyFill="1" applyBorder="1" applyAlignment="1" applyProtection="1">
      <alignment wrapText="1"/>
      <protection locked="0"/>
    </xf>
    <xf numFmtId="0" fontId="0" fillId="0" borderId="2" xfId="0" applyBorder="1" applyAlignment="1">
      <alignment wrapText="1"/>
    </xf>
    <xf numFmtId="0" fontId="0" fillId="9" borderId="32" xfId="0" applyFill="1" applyBorder="1"/>
    <xf numFmtId="0" fontId="0" fillId="9" borderId="32" xfId="0" applyFill="1" applyBorder="1" applyAlignment="1">
      <alignment horizontal="center" wrapText="1"/>
    </xf>
    <xf numFmtId="0" fontId="5" fillId="6" borderId="2" xfId="0" applyFont="1" applyFill="1" applyBorder="1" applyAlignment="1">
      <alignment vertical="center" wrapText="1"/>
    </xf>
    <xf numFmtId="0" fontId="14" fillId="9" borderId="32" xfId="0" applyFont="1" applyFill="1" applyBorder="1"/>
    <xf numFmtId="0" fontId="19" fillId="0" borderId="0" xfId="0" applyFont="1"/>
    <xf numFmtId="0" fontId="19" fillId="15" borderId="25" xfId="0" applyFont="1" applyFill="1" applyBorder="1"/>
    <xf numFmtId="0" fontId="19" fillId="23" borderId="0" xfId="0" applyFont="1" applyFill="1"/>
    <xf numFmtId="0" fontId="9" fillId="15" borderId="7" xfId="0" applyFont="1" applyFill="1" applyBorder="1"/>
    <xf numFmtId="0" fontId="9" fillId="23" borderId="0" xfId="0" applyFont="1" applyFill="1"/>
    <xf numFmtId="0" fontId="20" fillId="15" borderId="7" xfId="0" applyFont="1" applyFill="1" applyBorder="1" applyAlignment="1">
      <alignment horizontal="center"/>
    </xf>
    <xf numFmtId="0" fontId="20" fillId="15" borderId="22" xfId="0" applyFont="1" applyFill="1" applyBorder="1" applyAlignment="1">
      <alignment horizontal="center"/>
    </xf>
    <xf numFmtId="0" fontId="0" fillId="6" borderId="16" xfId="0" applyFill="1" applyBorder="1" applyAlignment="1">
      <alignment vertical="center"/>
    </xf>
    <xf numFmtId="0" fontId="5" fillId="6" borderId="16" xfId="0" applyFont="1" applyFill="1" applyBorder="1" applyAlignment="1">
      <alignment vertical="center"/>
    </xf>
    <xf numFmtId="0" fontId="0" fillId="6" borderId="6" xfId="0" applyFill="1" applyBorder="1" applyAlignment="1">
      <alignment vertical="center"/>
    </xf>
    <xf numFmtId="0" fontId="18" fillId="0" borderId="0" xfId="0" applyFont="1" applyAlignment="1">
      <alignment horizontal="left"/>
    </xf>
    <xf numFmtId="0" fontId="0" fillId="0" borderId="38" xfId="0" applyBorder="1" applyAlignment="1">
      <alignment vertical="center" wrapText="1"/>
    </xf>
    <xf numFmtId="0" fontId="7" fillId="0" borderId="18" xfId="0" applyFont="1" applyBorder="1" applyAlignment="1">
      <alignment vertical="center"/>
    </xf>
    <xf numFmtId="0" fontId="0" fillId="0" borderId="38" xfId="0" applyBorder="1" applyAlignment="1">
      <alignment vertical="center"/>
    </xf>
    <xf numFmtId="0" fontId="18" fillId="0" borderId="38" xfId="0" applyFont="1" applyBorder="1" applyAlignment="1">
      <alignment wrapText="1"/>
    </xf>
    <xf numFmtId="0" fontId="31" fillId="0" borderId="18" xfId="0" applyFont="1" applyBorder="1" applyAlignment="1">
      <alignment wrapText="1"/>
    </xf>
    <xf numFmtId="0" fontId="0" fillId="28" borderId="18" xfId="0" applyFill="1" applyBorder="1"/>
    <xf numFmtId="0" fontId="0" fillId="28" borderId="18" xfId="0" applyFill="1" applyBorder="1" applyAlignment="1">
      <alignment vertical="center"/>
    </xf>
    <xf numFmtId="0" fontId="7" fillId="0" borderId="18" xfId="0" applyFont="1" applyBorder="1" applyAlignment="1">
      <alignment vertical="center" wrapText="1"/>
    </xf>
    <xf numFmtId="0" fontId="46" fillId="0" borderId="18" xfId="0" applyFont="1" applyBorder="1" applyAlignment="1">
      <alignment wrapText="1"/>
    </xf>
    <xf numFmtId="0" fontId="7" fillId="0" borderId="18" xfId="0" applyFont="1" applyBorder="1" applyAlignment="1">
      <alignment wrapText="1"/>
    </xf>
    <xf numFmtId="0" fontId="7" fillId="0" borderId="18" xfId="0" applyFont="1" applyBorder="1"/>
    <xf numFmtId="0" fontId="0" fillId="29" borderId="18" xfId="0" applyFill="1" applyBorder="1"/>
    <xf numFmtId="0" fontId="1" fillId="30" borderId="2" xfId="0" applyFont="1" applyFill="1" applyBorder="1" applyAlignment="1">
      <alignment horizontal="left"/>
    </xf>
    <xf numFmtId="0" fontId="1" fillId="30" borderId="1" xfId="0" applyFont="1" applyFill="1" applyBorder="1" applyAlignment="1">
      <alignment horizontal="left"/>
    </xf>
    <xf numFmtId="0" fontId="1" fillId="30" borderId="7" xfId="0" applyFont="1" applyFill="1" applyBorder="1" applyAlignment="1">
      <alignment horizontal="left"/>
    </xf>
    <xf numFmtId="0" fontId="1" fillId="30" borderId="6" xfId="0" applyFont="1" applyFill="1" applyBorder="1" applyAlignment="1">
      <alignment horizontal="left"/>
    </xf>
    <xf numFmtId="0" fontId="0" fillId="30" borderId="1" xfId="0" applyFill="1" applyBorder="1" applyAlignment="1" applyProtection="1">
      <alignment horizontal="left"/>
      <protection locked="0"/>
    </xf>
    <xf numFmtId="0" fontId="0" fillId="30" borderId="1" xfId="0" applyFill="1" applyBorder="1" applyProtection="1">
      <protection locked="0"/>
    </xf>
    <xf numFmtId="0" fontId="0" fillId="30" borderId="1" xfId="0" applyFill="1" applyBorder="1"/>
    <xf numFmtId="0" fontId="0" fillId="30" borderId="1" xfId="0" applyFill="1" applyBorder="1" applyAlignment="1">
      <alignment horizontal="left"/>
    </xf>
    <xf numFmtId="0" fontId="0" fillId="30" borderId="1" xfId="0" applyFill="1" applyBorder="1" applyAlignment="1">
      <alignment wrapText="1"/>
    </xf>
    <xf numFmtId="0" fontId="1" fillId="30" borderId="8" xfId="0" applyFont="1" applyFill="1" applyBorder="1"/>
    <xf numFmtId="0" fontId="1" fillId="30" borderId="1" xfId="0" applyFont="1" applyFill="1" applyBorder="1"/>
    <xf numFmtId="0" fontId="7" fillId="30" borderId="1" xfId="0" applyFont="1" applyFill="1" applyBorder="1" applyProtection="1">
      <protection locked="0"/>
    </xf>
    <xf numFmtId="0" fontId="7" fillId="30" borderId="1" xfId="0" applyFont="1" applyFill="1" applyBorder="1" applyAlignment="1">
      <alignment wrapText="1"/>
    </xf>
    <xf numFmtId="0" fontId="1" fillId="30" borderId="2" xfId="0" applyFont="1" applyFill="1" applyBorder="1"/>
    <xf numFmtId="0" fontId="1" fillId="30" borderId="4" xfId="0" applyFont="1" applyFill="1" applyBorder="1"/>
    <xf numFmtId="0" fontId="1" fillId="30" borderId="1" xfId="0" applyFont="1" applyFill="1" applyBorder="1" applyAlignment="1">
      <alignment horizontal="center"/>
    </xf>
    <xf numFmtId="0" fontId="1" fillId="30" borderId="6" xfId="0" applyFont="1" applyFill="1" applyBorder="1" applyAlignment="1">
      <alignment horizontal="left" wrapText="1"/>
    </xf>
    <xf numFmtId="0" fontId="1" fillId="30" borderId="1" xfId="0" applyFont="1" applyFill="1" applyBorder="1" applyAlignment="1">
      <alignment horizontal="left" wrapText="1"/>
    </xf>
    <xf numFmtId="0" fontId="9" fillId="30" borderId="1" xfId="0" applyFont="1" applyFill="1" applyBorder="1" applyAlignment="1">
      <alignment horizontal="left" wrapText="1"/>
    </xf>
    <xf numFmtId="0" fontId="20" fillId="31" borderId="1" xfId="0" applyFont="1" applyFill="1" applyBorder="1" applyAlignment="1">
      <alignment horizontal="left"/>
    </xf>
    <xf numFmtId="0" fontId="20" fillId="30" borderId="1" xfId="0" applyFont="1" applyFill="1" applyBorder="1" applyAlignment="1">
      <alignment horizontal="left"/>
    </xf>
    <xf numFmtId="0" fontId="4" fillId="30" borderId="1" xfId="0" applyFont="1" applyFill="1" applyBorder="1" applyProtection="1">
      <protection locked="0"/>
    </xf>
    <xf numFmtId="0" fontId="18" fillId="31" borderId="1" xfId="0" applyFont="1" applyFill="1" applyBorder="1"/>
    <xf numFmtId="0" fontId="4" fillId="30" borderId="1" xfId="0" applyFont="1" applyFill="1" applyBorder="1"/>
    <xf numFmtId="0" fontId="7" fillId="30" borderId="1" xfId="0" applyFont="1" applyFill="1" applyBorder="1"/>
    <xf numFmtId="0" fontId="4" fillId="30" borderId="1" xfId="0" applyFont="1" applyFill="1" applyBorder="1" applyAlignment="1">
      <alignment wrapText="1"/>
    </xf>
    <xf numFmtId="0" fontId="18" fillId="31" borderId="1" xfId="0" applyFont="1" applyFill="1" applyBorder="1" applyAlignment="1">
      <alignment wrapText="1"/>
    </xf>
    <xf numFmtId="0" fontId="14" fillId="30" borderId="1" xfId="0" applyFont="1" applyFill="1" applyBorder="1" applyAlignment="1">
      <alignment wrapText="1"/>
    </xf>
    <xf numFmtId="22" fontId="0" fillId="0" borderId="0" xfId="0" applyNumberFormat="1" applyAlignment="1">
      <alignment horizontal="left"/>
    </xf>
    <xf numFmtId="0" fontId="1" fillId="2" borderId="26" xfId="0" applyFont="1" applyFill="1" applyBorder="1" applyAlignment="1">
      <alignment horizontal="left"/>
    </xf>
    <xf numFmtId="0" fontId="20" fillId="17" borderId="26" xfId="0" applyFont="1" applyFill="1" applyBorder="1" applyAlignment="1">
      <alignment horizontal="left"/>
    </xf>
    <xf numFmtId="0" fontId="20" fillId="9" borderId="26" xfId="0" applyFont="1" applyFill="1" applyBorder="1" applyAlignment="1">
      <alignment horizontal="left"/>
    </xf>
    <xf numFmtId="0" fontId="20" fillId="9" borderId="33" xfId="0" applyFont="1" applyFill="1" applyBorder="1" applyAlignment="1">
      <alignment horizontal="left"/>
    </xf>
    <xf numFmtId="0" fontId="18" fillId="30" borderId="1" xfId="0" applyFont="1" applyFill="1" applyBorder="1" applyAlignment="1">
      <alignment wrapText="1"/>
    </xf>
    <xf numFmtId="0" fontId="19" fillId="31" borderId="1" xfId="0" applyFont="1" applyFill="1" applyBorder="1"/>
    <xf numFmtId="0" fontId="19" fillId="31" borderId="1" xfId="0" applyFont="1" applyFill="1" applyBorder="1" applyAlignment="1">
      <alignment horizontal="left"/>
    </xf>
    <xf numFmtId="0" fontId="18" fillId="30" borderId="1" xfId="0" applyFont="1" applyFill="1" applyBorder="1" applyAlignment="1">
      <alignment horizontal="left"/>
    </xf>
    <xf numFmtId="0" fontId="18" fillId="30" borderId="1" xfId="0" applyFont="1" applyFill="1" applyBorder="1"/>
    <xf numFmtId="0" fontId="18" fillId="30" borderId="1" xfId="0" applyFont="1" applyFill="1" applyBorder="1" applyAlignment="1">
      <alignment horizontal="left" wrapText="1"/>
    </xf>
    <xf numFmtId="0" fontId="19" fillId="31" borderId="1" xfId="0" applyFont="1" applyFill="1" applyBorder="1" applyAlignment="1">
      <alignment horizontal="center"/>
    </xf>
    <xf numFmtId="0" fontId="19" fillId="31" borderId="2" xfId="0" applyFont="1" applyFill="1" applyBorder="1" applyAlignment="1">
      <alignment horizontal="left"/>
    </xf>
    <xf numFmtId="0" fontId="18" fillId="0" borderId="22" xfId="0" applyFont="1" applyBorder="1"/>
    <xf numFmtId="0" fontId="7" fillId="0" borderId="0" xfId="0" applyFont="1" applyAlignment="1">
      <alignment vertical="center" wrapText="1"/>
    </xf>
    <xf numFmtId="0" fontId="3" fillId="5" borderId="2" xfId="0" applyFont="1" applyFill="1" applyBorder="1" applyAlignment="1">
      <alignment vertical="center" wrapText="1"/>
    </xf>
    <xf numFmtId="0" fontId="1" fillId="2" borderId="1" xfId="0" applyFont="1" applyFill="1" applyBorder="1" applyAlignment="1">
      <alignment horizontal="left"/>
    </xf>
    <xf numFmtId="0" fontId="0" fillId="30" borderId="1" xfId="0" applyFill="1" applyBorder="1" applyAlignment="1">
      <alignment horizontal="left" wrapText="1"/>
    </xf>
    <xf numFmtId="0" fontId="0" fillId="30" borderId="1" xfId="0" applyFill="1" applyBorder="1" applyAlignment="1" applyProtection="1">
      <alignment wrapText="1"/>
      <protection locked="0"/>
    </xf>
    <xf numFmtId="0" fontId="9" fillId="30" borderId="1" xfId="0" applyFont="1" applyFill="1" applyBorder="1" applyAlignment="1">
      <alignment horizontal="left"/>
    </xf>
    <xf numFmtId="0" fontId="9" fillId="30" borderId="6" xfId="0" applyFont="1" applyFill="1" applyBorder="1" applyAlignment="1">
      <alignment horizontal="left"/>
    </xf>
    <xf numFmtId="0" fontId="0" fillId="30" borderId="1" xfId="0" applyFill="1" applyBorder="1" applyAlignment="1">
      <alignment horizontal="center" wrapText="1"/>
    </xf>
    <xf numFmtId="0" fontId="7" fillId="30" borderId="1" xfId="0" applyFont="1" applyFill="1" applyBorder="1" applyAlignment="1" applyProtection="1">
      <alignment horizontal="left"/>
      <protection locked="0"/>
    </xf>
    <xf numFmtId="0" fontId="7" fillId="30" borderId="1" xfId="0" applyFont="1" applyFill="1" applyBorder="1" applyAlignment="1">
      <alignment horizontal="left"/>
    </xf>
    <xf numFmtId="0" fontId="7" fillId="30" borderId="1" xfId="0" applyFont="1" applyFill="1" applyBorder="1" applyAlignment="1" applyProtection="1">
      <alignment wrapText="1"/>
      <protection locked="0"/>
    </xf>
    <xf numFmtId="0" fontId="7" fillId="30" borderId="1" xfId="0" applyFont="1" applyFill="1" applyBorder="1" applyAlignment="1">
      <alignment horizontal="center" wrapText="1"/>
    </xf>
    <xf numFmtId="0" fontId="9" fillId="30" borderId="1" xfId="0" applyFont="1" applyFill="1" applyBorder="1" applyAlignment="1">
      <alignment horizontal="center"/>
    </xf>
    <xf numFmtId="0" fontId="9" fillId="30" borderId="1" xfId="0" applyFont="1" applyFill="1" applyBorder="1"/>
    <xf numFmtId="0" fontId="7" fillId="30" borderId="1" xfId="0" applyFont="1" applyFill="1" applyBorder="1" applyAlignment="1">
      <alignment horizontal="left" wrapText="1"/>
    </xf>
    <xf numFmtId="0" fontId="16" fillId="30" borderId="1" xfId="0" applyFont="1" applyFill="1" applyBorder="1" applyAlignment="1">
      <alignment horizontal="left" wrapText="1"/>
    </xf>
    <xf numFmtId="0" fontId="17" fillId="30" borderId="1" xfId="0" applyFont="1" applyFill="1" applyBorder="1"/>
    <xf numFmtId="0" fontId="1" fillId="30" borderId="12" xfId="0" applyFont="1" applyFill="1" applyBorder="1" applyAlignment="1">
      <alignment horizontal="left" wrapText="1"/>
    </xf>
    <xf numFmtId="0" fontId="1" fillId="30" borderId="2" xfId="0" applyFont="1" applyFill="1" applyBorder="1" applyAlignment="1">
      <alignment horizontal="center"/>
    </xf>
    <xf numFmtId="0" fontId="1" fillId="2" borderId="3" xfId="0" applyFont="1" applyFill="1" applyBorder="1"/>
    <xf numFmtId="0" fontId="0" fillId="32" borderId="0" xfId="0" applyFill="1"/>
    <xf numFmtId="0" fontId="0" fillId="32" borderId="0" xfId="0" applyFill="1" applyProtection="1">
      <protection locked="0"/>
    </xf>
    <xf numFmtId="0" fontId="0" fillId="32" borderId="0" xfId="0" applyFill="1" applyAlignment="1">
      <alignment wrapText="1"/>
    </xf>
    <xf numFmtId="0" fontId="8" fillId="32" borderId="0" xfId="0" applyFont="1" applyFill="1" applyAlignment="1">
      <alignment wrapText="1"/>
    </xf>
    <xf numFmtId="0" fontId="18" fillId="33" borderId="27" xfId="0" applyFont="1" applyFill="1" applyBorder="1"/>
    <xf numFmtId="0" fontId="0" fillId="33" borderId="27" xfId="0" applyFill="1" applyBorder="1"/>
    <xf numFmtId="0" fontId="18" fillId="31" borderId="27" xfId="0" applyFont="1" applyFill="1" applyBorder="1"/>
    <xf numFmtId="0" fontId="0" fillId="31" borderId="27" xfId="0" applyFill="1" applyBorder="1"/>
    <xf numFmtId="0" fontId="18" fillId="31" borderId="29" xfId="0" applyFont="1" applyFill="1" applyBorder="1" applyAlignment="1">
      <alignment horizontal="center" wrapText="1"/>
    </xf>
    <xf numFmtId="0" fontId="18" fillId="31" borderId="28" xfId="0" applyFont="1" applyFill="1" applyBorder="1" applyAlignment="1">
      <alignment horizontal="center" wrapText="1"/>
    </xf>
    <xf numFmtId="0" fontId="36" fillId="33" borderId="27" xfId="0" applyFont="1" applyFill="1" applyBorder="1"/>
    <xf numFmtId="0" fontId="19" fillId="31" borderId="29" xfId="0" applyFont="1" applyFill="1" applyBorder="1" applyAlignment="1">
      <alignment horizontal="left"/>
    </xf>
    <xf numFmtId="0" fontId="0" fillId="30" borderId="1" xfId="0" applyFill="1" applyBorder="1" applyAlignment="1" applyProtection="1">
      <alignment horizontal="center"/>
      <protection locked="0"/>
    </xf>
    <xf numFmtId="0" fontId="0" fillId="30" borderId="1" xfId="0" applyFill="1" applyBorder="1" applyAlignment="1">
      <alignment horizontal="center"/>
    </xf>
    <xf numFmtId="0" fontId="0" fillId="30" borderId="1" xfId="0" applyFill="1" applyBorder="1" applyAlignment="1" applyProtection="1">
      <alignment horizontal="left" wrapText="1"/>
      <protection locked="0"/>
    </xf>
    <xf numFmtId="0" fontId="0" fillId="6" borderId="1" xfId="0" applyFill="1" applyBorder="1" applyAlignment="1">
      <alignment horizontal="left" wrapText="1"/>
    </xf>
    <xf numFmtId="0" fontId="0" fillId="6" borderId="1" xfId="0" applyFill="1" applyBorder="1" applyAlignment="1">
      <alignment horizontal="left"/>
    </xf>
    <xf numFmtId="0" fontId="19" fillId="30" borderId="6" xfId="0" applyFont="1" applyFill="1" applyBorder="1" applyAlignment="1">
      <alignment horizontal="left"/>
    </xf>
    <xf numFmtId="0" fontId="19" fillId="31" borderId="6" xfId="0" applyFont="1" applyFill="1" applyBorder="1" applyAlignment="1">
      <alignment horizontal="left"/>
    </xf>
    <xf numFmtId="0" fontId="18" fillId="30" borderId="0" xfId="0" applyFont="1" applyFill="1"/>
    <xf numFmtId="0" fontId="18" fillId="30" borderId="5" xfId="0" applyFont="1" applyFill="1" applyBorder="1" applyAlignment="1">
      <alignment wrapText="1"/>
    </xf>
    <xf numFmtId="0" fontId="19" fillId="31" borderId="2" xfId="0" applyFont="1" applyFill="1" applyBorder="1"/>
    <xf numFmtId="0" fontId="19" fillId="31" borderId="8" xfId="0" applyFont="1" applyFill="1" applyBorder="1"/>
    <xf numFmtId="0" fontId="28" fillId="31" borderId="1" xfId="0" applyFont="1" applyFill="1" applyBorder="1" applyAlignment="1">
      <alignment horizontal="left" wrapText="1"/>
    </xf>
    <xf numFmtId="0" fontId="5" fillId="30" borderId="1" xfId="0" applyFont="1" applyFill="1" applyBorder="1" applyAlignment="1">
      <alignment wrapText="1"/>
    </xf>
    <xf numFmtId="0" fontId="5" fillId="31" borderId="1" xfId="0" applyFont="1" applyFill="1" applyBorder="1" applyAlignment="1">
      <alignment wrapText="1"/>
    </xf>
    <xf numFmtId="0" fontId="18" fillId="30" borderId="15" xfId="0" applyFont="1" applyFill="1" applyBorder="1"/>
    <xf numFmtId="0" fontId="18" fillId="6" borderId="1" xfId="0" applyFont="1" applyFill="1" applyBorder="1"/>
    <xf numFmtId="0" fontId="18" fillId="6" borderId="1" xfId="0" applyFont="1" applyFill="1" applyBorder="1" applyAlignment="1">
      <alignment wrapText="1"/>
    </xf>
    <xf numFmtId="0" fontId="9" fillId="31" borderId="1" xfId="0" applyFont="1" applyFill="1" applyBorder="1"/>
    <xf numFmtId="0" fontId="3" fillId="12" borderId="24" xfId="0" applyFont="1" applyFill="1" applyBorder="1" applyAlignment="1">
      <alignment vertical="center" wrapText="1"/>
    </xf>
    <xf numFmtId="0" fontId="8" fillId="12" borderId="11" xfId="0" applyFont="1" applyFill="1" applyBorder="1" applyAlignment="1">
      <alignment vertical="center" wrapText="1"/>
    </xf>
    <xf numFmtId="0" fontId="3" fillId="12" borderId="2" xfId="0" applyFont="1" applyFill="1" applyBorder="1" applyAlignment="1">
      <alignment vertical="center" wrapText="1"/>
    </xf>
    <xf numFmtId="0" fontId="3" fillId="12" borderId="12" xfId="0" applyFont="1" applyFill="1" applyBorder="1" applyAlignment="1">
      <alignment vertical="center" wrapText="1"/>
    </xf>
    <xf numFmtId="0" fontId="8" fillId="12" borderId="12" xfId="0" applyFont="1" applyFill="1" applyBorder="1" applyAlignment="1">
      <alignment vertical="center" wrapText="1"/>
    </xf>
    <xf numFmtId="0" fontId="19" fillId="31" borderId="26" xfId="0" applyFont="1" applyFill="1" applyBorder="1"/>
    <xf numFmtId="0" fontId="33" fillId="0" borderId="1" xfId="0" applyFont="1" applyBorder="1"/>
    <xf numFmtId="0" fontId="19" fillId="31" borderId="1" xfId="0" applyFont="1" applyFill="1" applyBorder="1" applyAlignment="1">
      <alignment horizontal="left" wrapText="1"/>
    </xf>
    <xf numFmtId="0" fontId="34" fillId="6" borderId="1" xfId="0" applyFont="1" applyFill="1" applyBorder="1" applyAlignment="1">
      <alignment wrapText="1"/>
    </xf>
    <xf numFmtId="0" fontId="34" fillId="6" borderId="1" xfId="0" applyFont="1" applyFill="1" applyBorder="1"/>
    <xf numFmtId="0" fontId="9" fillId="31" borderId="1" xfId="0" applyFont="1" applyFill="1" applyBorder="1" applyAlignment="1">
      <alignment horizontal="center"/>
    </xf>
    <xf numFmtId="0" fontId="9" fillId="31" borderId="1" xfId="0" applyFont="1" applyFill="1" applyBorder="1" applyAlignment="1">
      <alignment horizontal="left"/>
    </xf>
    <xf numFmtId="0" fontId="9" fillId="31" borderId="1" xfId="0" applyFont="1" applyFill="1" applyBorder="1" applyAlignment="1">
      <alignment horizontal="left" wrapText="1"/>
    </xf>
    <xf numFmtId="0" fontId="47" fillId="6" borderId="1" xfId="0" applyFont="1" applyFill="1" applyBorder="1"/>
    <xf numFmtId="0" fontId="1" fillId="30" borderId="1" xfId="0" applyFont="1" applyFill="1" applyBorder="1" applyAlignment="1">
      <alignment horizontal="center" wrapText="1"/>
    </xf>
    <xf numFmtId="0" fontId="1" fillId="30" borderId="1" xfId="0" applyFont="1" applyFill="1" applyBorder="1" applyAlignment="1">
      <alignment vertical="center" wrapText="1"/>
    </xf>
    <xf numFmtId="0" fontId="1" fillId="30" borderId="1" xfId="0" applyFont="1" applyFill="1" applyBorder="1" applyAlignment="1">
      <alignment horizontal="center" vertical="center" wrapText="1"/>
    </xf>
    <xf numFmtId="0" fontId="9" fillId="30" borderId="1" xfId="0" applyFont="1" applyFill="1" applyBorder="1" applyAlignment="1">
      <alignment horizontal="center" wrapText="1"/>
    </xf>
    <xf numFmtId="0" fontId="24" fillId="31" borderId="4" xfId="0" applyFont="1" applyFill="1" applyBorder="1" applyAlignment="1">
      <alignment wrapText="1"/>
    </xf>
    <xf numFmtId="0" fontId="18" fillId="30" borderId="24" xfId="0" applyFont="1" applyFill="1" applyBorder="1"/>
    <xf numFmtId="0" fontId="18" fillId="30" borderId="7" xfId="0" applyFont="1" applyFill="1" applyBorder="1"/>
    <xf numFmtId="0" fontId="19" fillId="15" borderId="22" xfId="0" applyFont="1" applyFill="1" applyBorder="1" applyAlignment="1">
      <alignment horizontal="center"/>
    </xf>
    <xf numFmtId="0" fontId="19" fillId="15" borderId="1" xfId="0" applyFont="1" applyFill="1" applyBorder="1"/>
    <xf numFmtId="0" fontId="18" fillId="6" borderId="2" xfId="0" applyFont="1" applyFill="1" applyBorder="1"/>
    <xf numFmtId="0" fontId="18" fillId="6" borderId="7" xfId="0" applyFont="1" applyFill="1" applyBorder="1"/>
    <xf numFmtId="0" fontId="18" fillId="6" borderId="16" xfId="0" applyFont="1" applyFill="1" applyBorder="1"/>
    <xf numFmtId="0" fontId="45" fillId="0" borderId="1" xfId="0" applyFont="1" applyBorder="1"/>
    <xf numFmtId="0" fontId="5" fillId="6" borderId="2" xfId="0" applyFont="1" applyFill="1" applyBorder="1" applyAlignment="1">
      <alignment vertical="center"/>
    </xf>
    <xf numFmtId="0" fontId="0" fillId="9" borderId="15" xfId="0" applyFill="1" applyBorder="1" applyAlignment="1">
      <alignment wrapText="1"/>
    </xf>
    <xf numFmtId="0" fontId="5" fillId="6" borderId="2" xfId="0" quotePrefix="1" applyFont="1" applyFill="1" applyBorder="1" applyAlignment="1">
      <alignment vertical="center"/>
    </xf>
    <xf numFmtId="0" fontId="1" fillId="9" borderId="6" xfId="0" applyFont="1" applyFill="1" applyBorder="1" applyAlignment="1">
      <alignment horizontal="center" wrapText="1"/>
    </xf>
    <xf numFmtId="0" fontId="1" fillId="9" borderId="6" xfId="0" applyFont="1" applyFill="1" applyBorder="1" applyAlignment="1">
      <alignment horizontal="center"/>
    </xf>
    <xf numFmtId="0" fontId="0" fillId="34" borderId="18" xfId="0" applyFill="1" applyBorder="1"/>
    <xf numFmtId="0" fontId="7" fillId="34" borderId="18" xfId="0" applyFont="1" applyFill="1" applyBorder="1" applyAlignment="1">
      <alignment wrapText="1"/>
    </xf>
    <xf numFmtId="0" fontId="22" fillId="13" borderId="16" xfId="0" applyFont="1" applyFill="1" applyBorder="1"/>
    <xf numFmtId="0" fontId="3" fillId="0" borderId="6" xfId="0" applyFont="1" applyBorder="1" applyAlignment="1">
      <alignment wrapText="1"/>
    </xf>
    <xf numFmtId="0" fontId="8" fillId="0" borderId="16" xfId="0" applyFont="1" applyBorder="1" applyAlignment="1">
      <alignment wrapText="1"/>
    </xf>
    <xf numFmtId="0" fontId="14" fillId="0" borderId="6" xfId="0" applyFont="1" applyBorder="1" applyAlignment="1">
      <alignment wrapText="1"/>
    </xf>
    <xf numFmtId="0" fontId="14" fillId="0" borderId="16" xfId="0" applyFont="1" applyBorder="1" applyAlignment="1">
      <alignment wrapText="1"/>
    </xf>
    <xf numFmtId="0" fontId="15" fillId="0" borderId="16" xfId="0" applyFont="1" applyBorder="1" applyAlignment="1">
      <alignment wrapText="1"/>
    </xf>
    <xf numFmtId="0" fontId="3" fillId="0" borderId="6" xfId="0" applyFont="1" applyBorder="1"/>
    <xf numFmtId="0" fontId="5" fillId="0" borderId="16" xfId="0" applyFont="1" applyBorder="1"/>
    <xf numFmtId="0" fontId="3" fillId="0" borderId="12" xfId="0" applyFont="1" applyBorder="1"/>
    <xf numFmtId="0" fontId="5" fillId="0" borderId="0" xfId="0" applyFont="1"/>
    <xf numFmtId="0" fontId="15" fillId="0" borderId="6" xfId="0" applyFont="1" applyBorder="1"/>
    <xf numFmtId="0" fontId="25" fillId="5" borderId="1" xfId="0" applyFont="1" applyFill="1" applyBorder="1" applyAlignment="1">
      <alignment vertical="center" wrapText="1"/>
    </xf>
    <xf numFmtId="0" fontId="48" fillId="6" borderId="1" xfId="0" applyFont="1" applyFill="1" applyBorder="1" applyAlignment="1">
      <alignment vertical="center" wrapText="1"/>
    </xf>
    <xf numFmtId="0" fontId="4" fillId="32" borderId="0" xfId="0" applyFont="1" applyFill="1"/>
    <xf numFmtId="0" fontId="49" fillId="5" borderId="1" xfId="0" applyFont="1" applyFill="1" applyBorder="1" applyAlignment="1">
      <alignment vertical="center" wrapText="1"/>
    </xf>
    <xf numFmtId="0" fontId="50" fillId="19" borderId="1" xfId="0" applyFont="1" applyFill="1" applyBorder="1"/>
    <xf numFmtId="0" fontId="50" fillId="0" borderId="16" xfId="0" applyFont="1" applyBorder="1"/>
    <xf numFmtId="0" fontId="18" fillId="6" borderId="18" xfId="0" applyFont="1" applyFill="1" applyBorder="1" applyAlignment="1">
      <alignment wrapText="1"/>
    </xf>
    <xf numFmtId="0" fontId="18" fillId="21" borderId="18" xfId="0" applyFont="1" applyFill="1" applyBorder="1"/>
    <xf numFmtId="0" fontId="24" fillId="13" borderId="16" xfId="0" applyFont="1" applyFill="1" applyBorder="1"/>
    <xf numFmtId="0" fontId="22" fillId="0" borderId="0" xfId="0" applyFont="1"/>
    <xf numFmtId="0" fontId="22" fillId="13" borderId="6" xfId="0" applyFont="1" applyFill="1" applyBorder="1"/>
    <xf numFmtId="0" fontId="22" fillId="18" borderId="6" xfId="0" applyFont="1" applyFill="1" applyBorder="1"/>
    <xf numFmtId="0" fontId="3" fillId="29" borderId="1" xfId="0" applyFont="1" applyFill="1" applyBorder="1" applyAlignment="1">
      <alignment vertical="center" wrapText="1"/>
    </xf>
    <xf numFmtId="0" fontId="37" fillId="0" borderId="16" xfId="0" applyFont="1" applyBorder="1"/>
    <xf numFmtId="0" fontId="38" fillId="0" borderId="16" xfId="0" applyFont="1" applyBorder="1"/>
    <xf numFmtId="0" fontId="37" fillId="0" borderId="6" xfId="0" applyFont="1" applyBorder="1"/>
    <xf numFmtId="0" fontId="37" fillId="0" borderId="16" xfId="0" applyFont="1" applyBorder="1" applyAlignment="1">
      <alignment wrapText="1"/>
    </xf>
    <xf numFmtId="0" fontId="37" fillId="17" borderId="6" xfId="0" applyFont="1" applyFill="1" applyBorder="1"/>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2" borderId="9" xfId="0" applyFont="1" applyFill="1" applyBorder="1" applyAlignment="1">
      <alignment horizontal="center"/>
    </xf>
    <xf numFmtId="0" fontId="1" fillId="2" borderId="10" xfId="0" applyFont="1" applyFill="1" applyBorder="1" applyAlignment="1">
      <alignment horizontal="center"/>
    </xf>
    <xf numFmtId="0" fontId="18" fillId="0" borderId="1" xfId="0" applyFont="1" applyBorder="1" applyAlignment="1">
      <alignment horizontal="left" wrapText="1"/>
    </xf>
    <xf numFmtId="0" fontId="18" fillId="0" borderId="1" xfId="0" applyFont="1" applyBorder="1" applyAlignment="1">
      <alignment horizontal="left"/>
    </xf>
    <xf numFmtId="0" fontId="3" fillId="35" borderId="12" xfId="0" applyFont="1" applyFill="1" applyBorder="1"/>
    <xf numFmtId="0" fontId="14" fillId="35" borderId="0" xfId="0" applyFont="1" applyFill="1"/>
    <xf numFmtId="0" fontId="5" fillId="35" borderId="0" xfId="0" applyFont="1" applyFill="1"/>
    <xf numFmtId="0" fontId="14" fillId="29" borderId="0" xfId="0" applyFont="1" applyFill="1"/>
    <xf numFmtId="0" fontId="3" fillId="29" borderId="17" xfId="0" applyFont="1" applyFill="1" applyBorder="1" applyAlignment="1">
      <alignment horizontal="center" vertical="center" wrapText="1"/>
    </xf>
    <xf numFmtId="0" fontId="3" fillId="35" borderId="6" xfId="0" applyFont="1" applyFill="1" applyBorder="1"/>
    <xf numFmtId="0" fontId="37" fillId="35" borderId="16" xfId="0" applyFont="1" applyFill="1" applyBorder="1"/>
    <xf numFmtId="0" fontId="38" fillId="35" borderId="16" xfId="0" applyFont="1" applyFill="1" applyBorder="1"/>
    <xf numFmtId="0" fontId="37" fillId="29" borderId="0" xfId="0" applyFont="1" applyFill="1"/>
    <xf numFmtId="0" fontId="37" fillId="35" borderId="6" xfId="0" applyFont="1" applyFill="1" applyBorder="1"/>
    <xf numFmtId="0" fontId="37" fillId="35" borderId="16" xfId="0" applyFont="1" applyFill="1" applyBorder="1" applyAlignment="1">
      <alignment wrapText="1"/>
    </xf>
    <xf numFmtId="0" fontId="14" fillId="35" borderId="16" xfId="0" applyFont="1" applyFill="1" applyBorder="1"/>
    <xf numFmtId="0" fontId="14" fillId="35" borderId="6" xfId="0" applyFont="1" applyFill="1" applyBorder="1"/>
    <xf numFmtId="0" fontId="3" fillId="27" borderId="12" xfId="0" applyFont="1" applyFill="1" applyBorder="1" applyAlignment="1">
      <alignment horizontal="center" vertical="center" wrapText="1"/>
    </xf>
    <xf numFmtId="0" fontId="3" fillId="27" borderId="0" xfId="0" applyFont="1" applyFill="1" applyAlignment="1">
      <alignment horizontal="center" vertical="center" wrapText="1"/>
    </xf>
    <xf numFmtId="0" fontId="3" fillId="27" borderId="17" xfId="0" applyFont="1" applyFill="1" applyBorder="1" applyAlignment="1">
      <alignment horizontal="center" vertical="center" wrapText="1"/>
    </xf>
    <xf numFmtId="0" fontId="1" fillId="4" borderId="2" xfId="0" applyFont="1" applyFill="1" applyBorder="1" applyAlignment="1">
      <alignment horizontal="center"/>
    </xf>
    <xf numFmtId="0" fontId="1" fillId="4" borderId="4" xfId="0" applyFont="1" applyFill="1" applyBorder="1" applyAlignment="1">
      <alignment horizontal="center"/>
    </xf>
    <xf numFmtId="0" fontId="1" fillId="2" borderId="1" xfId="0" applyFont="1" applyFill="1" applyBorder="1" applyAlignment="1">
      <alignment horizontal="center"/>
    </xf>
    <xf numFmtId="0" fontId="9" fillId="2" borderId="2" xfId="0" applyFont="1" applyFill="1" applyBorder="1" applyAlignment="1">
      <alignment horizontal="center"/>
    </xf>
    <xf numFmtId="0" fontId="9" fillId="2" borderId="4" xfId="0" applyFont="1" applyFill="1" applyBorder="1" applyAlignment="1">
      <alignment horizontal="center"/>
    </xf>
    <xf numFmtId="0" fontId="19" fillId="31" borderId="19" xfId="0" applyFont="1" applyFill="1" applyBorder="1" applyAlignment="1">
      <alignment horizontal="center" wrapText="1"/>
    </xf>
    <xf numFmtId="0" fontId="19" fillId="31" borderId="6" xfId="0" applyFont="1" applyFill="1" applyBorder="1" applyAlignment="1">
      <alignment horizontal="center" wrapText="1"/>
    </xf>
    <xf numFmtId="0" fontId="7" fillId="0" borderId="20" xfId="0" applyFont="1" applyBorder="1" applyAlignment="1">
      <alignment horizontal="left"/>
    </xf>
    <xf numFmtId="0" fontId="18" fillId="0" borderId="20" xfId="0" applyFont="1" applyBorder="1" applyAlignment="1">
      <alignment horizontal="left"/>
    </xf>
    <xf numFmtId="0" fontId="18" fillId="0" borderId="20" xfId="0" applyFont="1" applyBorder="1" applyAlignment="1">
      <alignment horizontal="left" wrapText="1"/>
    </xf>
    <xf numFmtId="0" fontId="19" fillId="31" borderId="5" xfId="0" applyFont="1" applyFill="1" applyBorder="1" applyAlignment="1">
      <alignment horizontal="left" wrapText="1"/>
    </xf>
    <xf numFmtId="0" fontId="19" fillId="31" borderId="6" xfId="0" applyFont="1" applyFill="1" applyBorder="1" applyAlignment="1">
      <alignment horizontal="left" wrapText="1"/>
    </xf>
    <xf numFmtId="0" fontId="18" fillId="0" borderId="5" xfId="0" applyFont="1" applyBorder="1" applyAlignment="1">
      <alignment wrapText="1"/>
    </xf>
    <xf numFmtId="0" fontId="18" fillId="0" borderId="5" xfId="0" applyFont="1" applyBorder="1"/>
    <xf numFmtId="0" fontId="19" fillId="31" borderId="5" xfId="0" applyFont="1" applyFill="1" applyBorder="1" applyAlignment="1">
      <alignment horizontal="center" wrapText="1"/>
    </xf>
    <xf numFmtId="0" fontId="18" fillId="30" borderId="15" xfId="0" applyFont="1" applyFill="1" applyBorder="1"/>
    <xf numFmtId="0" fontId="18" fillId="30" borderId="6" xfId="0" applyFont="1" applyFill="1" applyBorder="1"/>
    <xf numFmtId="0" fontId="18" fillId="30" borderId="15" xfId="0" applyFont="1" applyFill="1" applyBorder="1" applyAlignment="1">
      <alignment horizontal="left"/>
    </xf>
    <xf numFmtId="0" fontId="18" fillId="30" borderId="6" xfId="0" applyFont="1" applyFill="1" applyBorder="1" applyAlignment="1">
      <alignment horizontal="left"/>
    </xf>
    <xf numFmtId="0" fontId="20" fillId="30" borderId="15" xfId="0" applyFont="1" applyFill="1" applyBorder="1" applyAlignment="1">
      <alignment wrapText="1"/>
    </xf>
    <xf numFmtId="0" fontId="20" fillId="30" borderId="6" xfId="0" applyFont="1" applyFill="1" applyBorder="1" applyAlignment="1">
      <alignment wrapText="1"/>
    </xf>
    <xf numFmtId="0" fontId="31" fillId="30" borderId="15" xfId="0" applyFont="1" applyFill="1" applyBorder="1"/>
    <xf numFmtId="0" fontId="31" fillId="30" borderId="6" xfId="0" applyFont="1" applyFill="1" applyBorder="1"/>
    <xf numFmtId="0" fontId="18" fillId="0" borderId="0" xfId="0" applyFont="1"/>
    <xf numFmtId="0" fontId="18" fillId="0" borderId="17" xfId="0" applyFont="1" applyBorder="1"/>
    <xf numFmtId="0" fontId="19" fillId="31" borderId="1" xfId="0" applyFont="1" applyFill="1" applyBorder="1" applyAlignment="1">
      <alignment horizontal="left"/>
    </xf>
    <xf numFmtId="0" fontId="18" fillId="30" borderId="1" xfId="0" applyFont="1" applyFill="1" applyBorder="1"/>
    <xf numFmtId="0" fontId="18" fillId="30" borderId="1" xfId="0" applyFont="1" applyFill="1" applyBorder="1" applyAlignment="1">
      <alignment horizontal="left"/>
    </xf>
    <xf numFmtId="0" fontId="18" fillId="0" borderId="16" xfId="0" applyFont="1" applyBorder="1"/>
    <xf numFmtId="0" fontId="18" fillId="30" borderId="1" xfId="0" applyFont="1" applyFill="1" applyBorder="1" applyAlignment="1">
      <alignment wrapText="1"/>
    </xf>
    <xf numFmtId="0" fontId="18" fillId="31" borderId="1" xfId="0" applyFont="1" applyFill="1" applyBorder="1" applyAlignment="1">
      <alignment horizontal="left" wrapText="1"/>
    </xf>
    <xf numFmtId="0" fontId="7" fillId="0" borderId="1" xfId="0" applyFont="1" applyBorder="1" applyAlignment="1">
      <alignment horizontal="left"/>
    </xf>
    <xf numFmtId="0" fontId="18" fillId="0" borderId="12" xfId="0" applyFont="1" applyBorder="1"/>
    <xf numFmtId="0" fontId="18" fillId="0" borderId="17" xfId="0" applyFont="1" applyBorder="1" applyAlignment="1">
      <alignment wrapText="1"/>
    </xf>
    <xf numFmtId="0" fontId="19" fillId="31" borderId="15" xfId="0" applyFont="1" applyFill="1" applyBorder="1" applyAlignment="1">
      <alignment horizontal="left"/>
    </xf>
    <xf numFmtId="0" fontId="19" fillId="31" borderId="6" xfId="0" applyFont="1" applyFill="1" applyBorder="1" applyAlignment="1">
      <alignment horizontal="left"/>
    </xf>
    <xf numFmtId="0" fontId="19" fillId="31" borderId="5" xfId="0" applyFont="1" applyFill="1" applyBorder="1" applyAlignment="1">
      <alignment horizontal="left"/>
    </xf>
    <xf numFmtId="0" fontId="18" fillId="0" borderId="5" xfId="0" applyFont="1" applyBorder="1" applyAlignment="1">
      <alignment horizontal="left" wrapText="1"/>
    </xf>
    <xf numFmtId="0" fontId="1" fillId="4" borderId="14" xfId="0" applyFont="1" applyFill="1" applyBorder="1" applyAlignment="1">
      <alignment horizontal="center"/>
    </xf>
    <xf numFmtId="0" fontId="1" fillId="4" borderId="13" xfId="0" applyFont="1" applyFill="1" applyBorder="1" applyAlignment="1">
      <alignment horizontal="center"/>
    </xf>
    <xf numFmtId="0" fontId="1" fillId="2" borderId="3" xfId="0" applyFont="1" applyFill="1" applyBorder="1" applyAlignment="1">
      <alignment horizontal="center"/>
    </xf>
    <xf numFmtId="0" fontId="1" fillId="9" borderId="30" xfId="0" applyFont="1" applyFill="1" applyBorder="1" applyAlignment="1">
      <alignment horizontal="center"/>
    </xf>
    <xf numFmtId="0" fontId="1" fillId="9" borderId="31" xfId="0" applyFont="1" applyFill="1" applyBorder="1" applyAlignment="1">
      <alignment horizontal="center"/>
    </xf>
    <xf numFmtId="0" fontId="19" fillId="31" borderId="19" xfId="0" applyFont="1" applyFill="1" applyBorder="1" applyAlignment="1">
      <alignment horizontal="left" wrapText="1"/>
    </xf>
    <xf numFmtId="0" fontId="18" fillId="0" borderId="12" xfId="0" applyFont="1" applyBorder="1" applyAlignment="1">
      <alignment wrapText="1"/>
    </xf>
    <xf numFmtId="0" fontId="18" fillId="30" borderId="35" xfId="0" applyFont="1" applyFill="1" applyBorder="1"/>
    <xf numFmtId="0" fontId="18" fillId="30" borderId="36" xfId="0" applyFont="1" applyFill="1" applyBorder="1"/>
    <xf numFmtId="0" fontId="18" fillId="30" borderId="21" xfId="0" applyFont="1" applyFill="1" applyBorder="1"/>
    <xf numFmtId="0" fontId="18" fillId="30" borderId="22" xfId="0" applyFont="1" applyFill="1" applyBorder="1"/>
    <xf numFmtId="0" fontId="18" fillId="0" borderId="37" xfId="0" applyFont="1" applyBorder="1"/>
    <xf numFmtId="0" fontId="18" fillId="30" borderId="34" xfId="0" applyFont="1" applyFill="1" applyBorder="1"/>
    <xf numFmtId="0" fontId="9" fillId="15" borderId="8" xfId="0" applyFont="1" applyFill="1" applyBorder="1" applyAlignment="1">
      <alignment horizontal="center"/>
    </xf>
    <xf numFmtId="0" fontId="9" fillId="15" borderId="9" xfId="0" applyFont="1" applyFill="1" applyBorder="1" applyAlignment="1">
      <alignment horizontal="center"/>
    </xf>
    <xf numFmtId="0" fontId="19" fillId="16" borderId="19" xfId="0" applyFont="1" applyFill="1" applyBorder="1" applyAlignment="1">
      <alignment horizontal="center" wrapText="1"/>
    </xf>
    <xf numFmtId="0" fontId="19" fillId="16" borderId="6" xfId="0" applyFont="1" applyFill="1" applyBorder="1" applyAlignment="1">
      <alignment horizontal="center" wrapText="1"/>
    </xf>
    <xf numFmtId="0" fontId="19" fillId="15" borderId="8" xfId="0" applyFont="1" applyFill="1" applyBorder="1" applyAlignment="1">
      <alignment horizontal="center"/>
    </xf>
    <xf numFmtId="0" fontId="19" fillId="15" borderId="9" xfId="0" applyFont="1" applyFill="1" applyBorder="1" applyAlignment="1">
      <alignment horizontal="center"/>
    </xf>
    <xf numFmtId="0" fontId="18" fillId="0" borderId="15" xfId="0" applyFont="1" applyBorder="1"/>
    <xf numFmtId="0" fontId="18" fillId="0" borderId="6" xfId="0" applyFont="1" applyBorder="1"/>
    <xf numFmtId="0" fontId="19" fillId="16" borderId="19" xfId="0" applyFont="1" applyFill="1" applyBorder="1" applyAlignment="1">
      <alignment horizontal="left" wrapText="1"/>
    </xf>
    <xf numFmtId="0" fontId="19" fillId="16" borderId="6" xfId="0" applyFont="1" applyFill="1" applyBorder="1" applyAlignment="1">
      <alignment horizontal="left" wrapText="1"/>
    </xf>
    <xf numFmtId="0" fontId="18" fillId="0" borderId="15" xfId="0" applyFont="1" applyBorder="1" applyAlignment="1">
      <alignment horizontal="left"/>
    </xf>
    <xf numFmtId="0" fontId="18" fillId="0" borderId="6" xfId="0" applyFont="1" applyBorder="1" applyAlignment="1">
      <alignment horizontal="left"/>
    </xf>
    <xf numFmtId="0" fontId="0" fillId="30" borderId="15" xfId="0" applyFont="1" applyFill="1" applyBorder="1" applyAlignment="1">
      <alignment wrapText="1"/>
    </xf>
    <xf numFmtId="0" fontId="0" fillId="30" borderId="6" xfId="0" applyFont="1" applyFill="1" applyBorder="1" applyAlignment="1">
      <alignment wrapText="1"/>
    </xf>
  </cellXfs>
  <cellStyles count="2">
    <cellStyle name="Hyperlink" xfId="1" builtinId="8"/>
    <cellStyle name="Normal" xfId="0" builtinId="0"/>
  </cellStyles>
  <dxfs count="9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EC2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documenttasks/documenttask1.xml><?xml version="1.0" encoding="utf-8"?>
<Tasks xmlns="http://schemas.microsoft.com/office/tasks/2019/documenttasks">
  <Task id="{92693541-6597-450C-A04B-C7A7A845FA9A}">
    <Anchor>
      <Comment id="{FBCD495C-0E0A-430B-B1CA-4B9A93D64181}"/>
    </Anchor>
    <History>
      <Event time="2024-09-23T09:20:46.92" id="{A9B1352F-93D9-42B0-A372-2532271283E1}">
        <Attribution userId="S::rajkumar.devakumar@fedex.com::585f8d6c-41b4-4abf-befa-64500e38b606" userName="Rajkumar Devakumar" userProvider="AD"/>
        <Anchor>
          <Comment id="{FBCD495C-0E0A-430B-B1CA-4B9A93D64181}"/>
        </Anchor>
        <Create/>
      </Event>
      <Event time="2024-09-23T09:20:46.92" id="{29EE5936-1E65-47B4-A60E-2EDA486C1F6C}">
        <Attribution userId="S::rajkumar.devakumar@fedex.com::585f8d6c-41b4-4abf-befa-64500e38b606" userName="Rajkumar Devakumar" userProvider="AD"/>
        <Anchor>
          <Comment id="{FBCD495C-0E0A-430B-B1CA-4B9A93D64181}"/>
        </Anchor>
        <Assign userId="S::pedro.pacheco2@fedex.com::828f9265-b2ab-44ef-9252-95f2082c2e96" userName="Pedro Pacheco" userProvider="AD"/>
      </Event>
      <Event time="2024-09-23T09:20:46.92" id="{C5DEAF3E-6D0B-4353-A0F0-238B03FE53E3}">
        <Attribution userId="S::rajkumar.devakumar@fedex.com::585f8d6c-41b4-4abf-befa-64500e38b606" userName="Rajkumar Devakumar" userProvider="AD"/>
        <Anchor>
          <Comment id="{FBCD495C-0E0A-430B-B1CA-4B9A93D64181}"/>
        </Anchor>
        <SetTitle title="@Pedro Pacheco and @Susan Rowland considering the nature of GEP change codes, we may have more than one condition matches at the same time. Example: when a declaration is in UNWORKED status I may get change code SHP_INFO and SHP_UNIT_SCAN. Where the…"/>
      </Event>
      <Event time="2024-09-23T09:21:01.43" id="{A522DC92-0585-4E09-A5F1-710FD2F29029}">
        <Attribution userId="S::rajkumar.devakumar@fedex.com::585f8d6c-41b4-4abf-befa-64500e38b606" userName="Rajkumar Devakumar" userProvider="AD"/>
        <Progress percentComplete="100"/>
      </Event>
      <Event time="2024-09-23T09:21:10.08" id="{4C17771F-1B70-4809-9014-205A9DB4BF2C}">
        <Attribution userId="S::rajkumar.devakumar@fedex.com::585f8d6c-41b4-4abf-befa-64500e38b606" userName="Rajkumar Devakumar" userProvider="AD"/>
        <Progress percentComplete="0"/>
      </Event>
    </History>
  </Task>
</Tasks>
</file>

<file path=xl/documenttasks/documenttask2.xml><?xml version="1.0" encoding="utf-8"?>
<Tasks xmlns="http://schemas.microsoft.com/office/tasks/2019/documenttasks">
  <Task id="{458F3862-2122-4AFE-87AD-7CF359E562C2}">
    <Anchor>
      <Comment id="{06858125-BD33-4BF8-A11C-05D8A23174B8}"/>
    </Anchor>
    <History>
      <Event time="2024-09-23T09:20:46.92" id="{A9B1352F-93D9-42B0-A372-2532271283E1}">
        <Attribution userId="S::rajkumar.devakumar@fedex.com::585f8d6c-41b4-4abf-befa-64500e38b606" userName="Rajkumar Devakumar" userProvider="AD"/>
        <Anchor>
          <Comment id="{06858125-BD33-4BF8-A11C-05D8A23174B8}"/>
        </Anchor>
        <Create/>
      </Event>
      <Event time="2024-09-23T09:20:46.92" id="{29EE5936-1E65-47B4-A60E-2EDA486C1F6C}">
        <Attribution userId="S::rajkumar.devakumar@fedex.com::585f8d6c-41b4-4abf-befa-64500e38b606" userName="Rajkumar Devakumar" userProvider="AD"/>
        <Anchor>
          <Comment id="{06858125-BD33-4BF8-A11C-05D8A23174B8}"/>
        </Anchor>
        <Assign userId="S::pedro.pacheco2@fedex.com::828f9265-b2ab-44ef-9252-95f2082c2e96" userName="Pedro Pacheco" userProvider="AD"/>
      </Event>
      <Event time="2024-09-23T09:20:46.92" id="{C5DEAF3E-6D0B-4353-A0F0-238B03FE53E3}">
        <Attribution userId="S::rajkumar.devakumar@fedex.com::585f8d6c-41b4-4abf-befa-64500e38b606" userName="Rajkumar Devakumar" userProvider="AD"/>
        <Anchor>
          <Comment id="{06858125-BD33-4BF8-A11C-05D8A23174B8}"/>
        </Anchor>
        <SetTitle title="@Pedro Pacheco and @Susan Rowland considering the nature of GEP change codes, we may have more than one condition matches at the same time. Example: when a declaration is in UNWORKED status I may get change code SHP_INFO and SHP_UNIT_SCAN. Where the…"/>
      </Event>
      <Event time="2024-09-23T09:21:01.43" id="{A522DC92-0585-4E09-A5F1-710FD2F29029}">
        <Attribution userId="S::rajkumar.devakumar@fedex.com::585f8d6c-41b4-4abf-befa-64500e38b606" userName="Rajkumar Devakumar" userProvider="AD"/>
        <Progress percentComplete="100"/>
      </Event>
      <Event time="2024-09-23T09:21:10.08" id="{4C17771F-1B70-4809-9014-205A9DB4BF2C}">
        <Attribution userId="S::rajkumar.devakumar@fedex.com::585f8d6c-41b4-4abf-befa-64500e38b606" userName="Rajkumar Devakumar" userProvider="AD"/>
        <Progress percentComplete="0"/>
      </Event>
    </History>
  </Task>
</Task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3</xdr:col>
      <xdr:colOff>2842260</xdr:colOff>
      <xdr:row>13</xdr:row>
      <xdr:rowOff>0</xdr:rowOff>
    </xdr:from>
    <xdr:ext cx="184731" cy="264560"/>
    <xdr:sp macro="" textlink="">
      <xdr:nvSpPr>
        <xdr:cNvPr id="2" name="TextBox 1">
          <a:extLst>
            <a:ext uri="{FF2B5EF4-FFF2-40B4-BE49-F238E27FC236}">
              <a16:creationId xmlns:a16="http://schemas.microsoft.com/office/drawing/2014/main" id="{EC145332-CC99-5BF2-8ADE-B23A74556405}"/>
            </a:ext>
          </a:extLst>
        </xdr:cNvPr>
        <xdr:cNvSpPr txBox="1"/>
      </xdr:nvSpPr>
      <xdr:spPr>
        <a:xfrm>
          <a:off x="7764780" y="37642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oneCellAnchor>
    <xdr:from>
      <xdr:col>8</xdr:col>
      <xdr:colOff>2842260</xdr:colOff>
      <xdr:row>6</xdr:row>
      <xdr:rowOff>15240</xdr:rowOff>
    </xdr:from>
    <xdr:ext cx="184731" cy="264560"/>
    <xdr:sp macro="" textlink="">
      <xdr:nvSpPr>
        <xdr:cNvPr id="3" name="TextBox 2">
          <a:extLst>
            <a:ext uri="{FF2B5EF4-FFF2-40B4-BE49-F238E27FC236}">
              <a16:creationId xmlns:a16="http://schemas.microsoft.com/office/drawing/2014/main" id="{4BF2264F-4577-45AA-990B-DFB413AB285C}"/>
            </a:ext>
          </a:extLst>
        </xdr:cNvPr>
        <xdr:cNvSpPr txBox="1"/>
      </xdr:nvSpPr>
      <xdr:spPr>
        <a:xfrm>
          <a:off x="7764780" y="46786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85725</xdr:colOff>
      <xdr:row>0</xdr:row>
      <xdr:rowOff>0</xdr:rowOff>
    </xdr:from>
    <xdr:to>
      <xdr:col>5</xdr:col>
      <xdr:colOff>628650</xdr:colOff>
      <xdr:row>2</xdr:row>
      <xdr:rowOff>200025</xdr:rowOff>
    </xdr:to>
    <xdr:sp macro="" textlink="">
      <xdr:nvSpPr>
        <xdr:cNvPr id="2" name="TextBox 1">
          <a:extLst>
            <a:ext uri="{FF2B5EF4-FFF2-40B4-BE49-F238E27FC236}">
              <a16:creationId xmlns:a16="http://schemas.microsoft.com/office/drawing/2014/main" id="{77A006ED-AC58-40A2-898A-BCBA1563032B}"/>
            </a:ext>
          </a:extLst>
        </xdr:cNvPr>
        <xdr:cNvSpPr txBox="1"/>
      </xdr:nvSpPr>
      <xdr:spPr>
        <a:xfrm>
          <a:off x="4953000" y="0"/>
          <a:ext cx="4124325" cy="6381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00" b="1" baseline="0">
              <a:solidFill>
                <a:sysClr val="windowText" lastClr="000000"/>
              </a:solidFill>
            </a:rPr>
            <a:t>Notes: submission tag can also be selected manually by user in UI</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704850</xdr:colOff>
      <xdr:row>9</xdr:row>
      <xdr:rowOff>171450</xdr:rowOff>
    </xdr:from>
    <xdr:to>
      <xdr:col>5</xdr:col>
      <xdr:colOff>542925</xdr:colOff>
      <xdr:row>17</xdr:row>
      <xdr:rowOff>104775</xdr:rowOff>
    </xdr:to>
    <xdr:sp macro="" textlink="">
      <xdr:nvSpPr>
        <xdr:cNvPr id="75" name="TextBox 1">
          <a:extLst>
            <a:ext uri="{FF2B5EF4-FFF2-40B4-BE49-F238E27FC236}">
              <a16:creationId xmlns:a16="http://schemas.microsoft.com/office/drawing/2014/main" id="{B82A6308-341D-3993-EEED-5FD51C8E83F1}"/>
            </a:ext>
          </a:extLst>
        </xdr:cNvPr>
        <xdr:cNvSpPr txBox="1"/>
      </xdr:nvSpPr>
      <xdr:spPr>
        <a:xfrm>
          <a:off x="2867025" y="2695575"/>
          <a:ext cx="6143625" cy="16478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entire table has been restructured requires update to</a:t>
          </a:r>
          <a:r>
            <a:rPr lang="en-GB" sz="1800" baseline="0"/>
            <a:t> Excel</a:t>
          </a:r>
          <a:endParaRPr lang="en-GB" sz="1800"/>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3</xdr:col>
      <xdr:colOff>0</xdr:colOff>
      <xdr:row>12</xdr:row>
      <xdr:rowOff>0</xdr:rowOff>
    </xdr:from>
    <xdr:ext cx="184731" cy="264560"/>
    <xdr:sp macro="" textlink="">
      <xdr:nvSpPr>
        <xdr:cNvPr id="2" name="TextBox 1">
          <a:extLst>
            <a:ext uri="{FF2B5EF4-FFF2-40B4-BE49-F238E27FC236}">
              <a16:creationId xmlns:a16="http://schemas.microsoft.com/office/drawing/2014/main" id="{967CA555-0585-428A-BBF8-A446693C9F31}"/>
            </a:ext>
          </a:extLst>
        </xdr:cNvPr>
        <xdr:cNvSpPr txBox="1"/>
      </xdr:nvSpPr>
      <xdr:spPr>
        <a:xfrm>
          <a:off x="6471285" y="34194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oneCellAnchor>
    <xdr:from>
      <xdr:col>5</xdr:col>
      <xdr:colOff>2842260</xdr:colOff>
      <xdr:row>5</xdr:row>
      <xdr:rowOff>15240</xdr:rowOff>
    </xdr:from>
    <xdr:ext cx="184731" cy="264560"/>
    <xdr:sp macro="" textlink="">
      <xdr:nvSpPr>
        <xdr:cNvPr id="3" name="TextBox 2">
          <a:extLst>
            <a:ext uri="{FF2B5EF4-FFF2-40B4-BE49-F238E27FC236}">
              <a16:creationId xmlns:a16="http://schemas.microsoft.com/office/drawing/2014/main" id="{3621F0AF-F24D-42FD-A89D-BF4FBE7A81C1}"/>
            </a:ext>
          </a:extLst>
        </xdr:cNvPr>
        <xdr:cNvSpPr txBox="1"/>
      </xdr:nvSpPr>
      <xdr:spPr>
        <a:xfrm>
          <a:off x="14977110" y="156781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oneCellAnchor>
    <xdr:from>
      <xdr:col>3</xdr:col>
      <xdr:colOff>0</xdr:colOff>
      <xdr:row>20</xdr:row>
      <xdr:rowOff>0</xdr:rowOff>
    </xdr:from>
    <xdr:ext cx="184731" cy="264560"/>
    <xdr:sp macro="" textlink="">
      <xdr:nvSpPr>
        <xdr:cNvPr id="5" name="TextBox 4">
          <a:extLst>
            <a:ext uri="{FF2B5EF4-FFF2-40B4-BE49-F238E27FC236}">
              <a16:creationId xmlns:a16="http://schemas.microsoft.com/office/drawing/2014/main" id="{B0727736-8A87-4552-90B8-227DD4DEFA3F}"/>
            </a:ext>
          </a:extLst>
        </xdr:cNvPr>
        <xdr:cNvSpPr txBox="1"/>
      </xdr:nvSpPr>
      <xdr:spPr>
        <a:xfrm>
          <a:off x="4943475" y="2886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twoCellAnchor>
    <xdr:from>
      <xdr:col>3</xdr:col>
      <xdr:colOff>104775</xdr:colOff>
      <xdr:row>2</xdr:row>
      <xdr:rowOff>9525</xdr:rowOff>
    </xdr:from>
    <xdr:to>
      <xdr:col>5</xdr:col>
      <xdr:colOff>2105025</xdr:colOff>
      <xdr:row>4</xdr:row>
      <xdr:rowOff>142875</xdr:rowOff>
    </xdr:to>
    <xdr:sp macro="" textlink="">
      <xdr:nvSpPr>
        <xdr:cNvPr id="28" name="TextBox 3">
          <a:extLst>
            <a:ext uri="{FF2B5EF4-FFF2-40B4-BE49-F238E27FC236}">
              <a16:creationId xmlns:a16="http://schemas.microsoft.com/office/drawing/2014/main" id="{350FCF44-4C49-4805-AD90-8F33A67642E4}"/>
            </a:ext>
          </a:extLst>
        </xdr:cNvPr>
        <xdr:cNvSpPr txBox="1"/>
      </xdr:nvSpPr>
      <xdr:spPr>
        <a:xfrm>
          <a:off x="5076825" y="447675"/>
          <a:ext cx="4895850" cy="9810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baseline="0">
              <a:solidFill>
                <a:srgbClr val="FF0000"/>
              </a:solidFill>
            </a:rPr>
            <a:t>Moved to Country Config Table</a:t>
          </a:r>
          <a:endParaRPr lang="en-GB" sz="1600" b="1">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1367791</xdr:colOff>
      <xdr:row>3</xdr:row>
      <xdr:rowOff>382905</xdr:rowOff>
    </xdr:from>
    <xdr:to>
      <xdr:col>1</xdr:col>
      <xdr:colOff>7498081</xdr:colOff>
      <xdr:row>5</xdr:row>
      <xdr:rowOff>76200</xdr:rowOff>
    </xdr:to>
    <xdr:sp macro="" textlink="">
      <xdr:nvSpPr>
        <xdr:cNvPr id="2" name="TextBox 1">
          <a:extLst>
            <a:ext uri="{FF2B5EF4-FFF2-40B4-BE49-F238E27FC236}">
              <a16:creationId xmlns:a16="http://schemas.microsoft.com/office/drawing/2014/main" id="{D8F74941-4976-A372-5214-68DD22732848}"/>
            </a:ext>
          </a:extLst>
        </xdr:cNvPr>
        <xdr:cNvSpPr txBox="1"/>
      </xdr:nvSpPr>
      <xdr:spPr>
        <a:xfrm>
          <a:off x="2990851" y="1045845"/>
          <a:ext cx="6130290" cy="5848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rgbClr val="FF0000"/>
              </a:solidFill>
            </a:rPr>
            <a:t>We do not need a rule for this if we maintain</a:t>
          </a:r>
          <a:r>
            <a:rPr lang="en-GB" sz="1200" b="1" baseline="0">
              <a:solidFill>
                <a:srgbClr val="FF0000"/>
              </a:solidFill>
            </a:rPr>
            <a:t> a country configuration lookup up table that has the description values and the assoicated tags to apply</a:t>
          </a:r>
          <a:endParaRPr lang="en-GB" sz="1200" b="1">
            <a:solidFill>
              <a:srgbClr val="FF0000"/>
            </a:solidFill>
          </a:endParaRPr>
        </a:p>
      </xdr:txBody>
    </xdr:sp>
    <xdr:clientData/>
  </xdr:twoCellAnchor>
  <xdr:twoCellAnchor>
    <xdr:from>
      <xdr:col>1</xdr:col>
      <xdr:colOff>1266826</xdr:colOff>
      <xdr:row>8</xdr:row>
      <xdr:rowOff>17145</xdr:rowOff>
    </xdr:from>
    <xdr:to>
      <xdr:col>1</xdr:col>
      <xdr:colOff>7397116</xdr:colOff>
      <xdr:row>14</xdr:row>
      <xdr:rowOff>114300</xdr:rowOff>
    </xdr:to>
    <xdr:sp macro="" textlink="">
      <xdr:nvSpPr>
        <xdr:cNvPr id="3" name="TextBox 2">
          <a:extLst>
            <a:ext uri="{FF2B5EF4-FFF2-40B4-BE49-F238E27FC236}">
              <a16:creationId xmlns:a16="http://schemas.microsoft.com/office/drawing/2014/main" id="{6266D131-56FF-4C7A-A8E2-5DE8E4EDFD61}"/>
            </a:ext>
          </a:extLst>
        </xdr:cNvPr>
        <xdr:cNvSpPr txBox="1"/>
      </xdr:nvSpPr>
      <xdr:spPr>
        <a:xfrm>
          <a:off x="3067051" y="2141220"/>
          <a:ext cx="6130290" cy="122110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3600" b="1">
              <a:solidFill>
                <a:srgbClr val="FF0000"/>
              </a:solidFill>
            </a:rPr>
            <a:t>Table not used</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24</xdr:row>
      <xdr:rowOff>0</xdr:rowOff>
    </xdr:from>
    <xdr:to>
      <xdr:col>3</xdr:col>
      <xdr:colOff>1552575</xdr:colOff>
      <xdr:row>29</xdr:row>
      <xdr:rowOff>76200</xdr:rowOff>
    </xdr:to>
    <xdr:sp macro="" textlink="">
      <xdr:nvSpPr>
        <xdr:cNvPr id="84" name="TextBox 1">
          <a:extLst>
            <a:ext uri="{FF2B5EF4-FFF2-40B4-BE49-F238E27FC236}">
              <a16:creationId xmlns:a16="http://schemas.microsoft.com/office/drawing/2014/main" id="{178AF7AA-5FA1-4025-A250-53C57C1FBBE8}"/>
            </a:ext>
          </a:extLst>
        </xdr:cNvPr>
        <xdr:cNvSpPr txBox="1"/>
      </xdr:nvSpPr>
      <xdr:spPr>
        <a:xfrm>
          <a:off x="4591050" y="5457825"/>
          <a:ext cx="4895850" cy="9810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baseline="0">
              <a:solidFill>
                <a:srgbClr val="FF0000"/>
              </a:solidFill>
            </a:rPr>
            <a:t>Tab Not Used --&gt; already in "Evaluate Submission Requirement" tab</a:t>
          </a:r>
          <a:endParaRPr lang="en-GB" sz="1600" b="1">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609600</xdr:colOff>
      <xdr:row>4</xdr:row>
      <xdr:rowOff>209550</xdr:rowOff>
    </xdr:from>
    <xdr:to>
      <xdr:col>3</xdr:col>
      <xdr:colOff>2162175</xdr:colOff>
      <xdr:row>9</xdr:row>
      <xdr:rowOff>135255</xdr:rowOff>
    </xdr:to>
    <xdr:pic>
      <xdr:nvPicPr>
        <xdr:cNvPr id="4" name="Picture 1">
          <a:extLst>
            <a:ext uri="{FF2B5EF4-FFF2-40B4-BE49-F238E27FC236}">
              <a16:creationId xmlns:a16="http://schemas.microsoft.com/office/drawing/2014/main" id="{112827D4-D67B-7C63-9FE7-C3E484F08A7E}"/>
            </a:ext>
          </a:extLst>
        </xdr:cNvPr>
        <xdr:cNvPicPr>
          <a:picLocks noChangeAspect="1"/>
        </xdr:cNvPicPr>
      </xdr:nvPicPr>
      <xdr:blipFill>
        <a:blip xmlns:r="http://schemas.openxmlformats.org/officeDocument/2006/relationships" r:embed="rId1"/>
        <a:stretch>
          <a:fillRect/>
        </a:stretch>
      </xdr:blipFill>
      <xdr:spPr>
        <a:xfrm>
          <a:off x="4229100" y="1466850"/>
          <a:ext cx="4562475" cy="9239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68036</xdr:colOff>
      <xdr:row>3</xdr:row>
      <xdr:rowOff>13607</xdr:rowOff>
    </xdr:from>
    <xdr:to>
      <xdr:col>5</xdr:col>
      <xdr:colOff>1700893</xdr:colOff>
      <xdr:row>8</xdr:row>
      <xdr:rowOff>136071</xdr:rowOff>
    </xdr:to>
    <xdr:sp macro="" textlink="">
      <xdr:nvSpPr>
        <xdr:cNvPr id="5" name="TextBox 1">
          <a:extLst>
            <a:ext uri="{FF2B5EF4-FFF2-40B4-BE49-F238E27FC236}">
              <a16:creationId xmlns:a16="http://schemas.microsoft.com/office/drawing/2014/main" id="{CAFBB093-E24F-CD4A-C252-B49279D6CFDA}"/>
            </a:ext>
          </a:extLst>
        </xdr:cNvPr>
        <xdr:cNvSpPr txBox="1"/>
      </xdr:nvSpPr>
      <xdr:spPr>
        <a:xfrm>
          <a:off x="11049000" y="585107"/>
          <a:ext cx="1632857" cy="1129393"/>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Source for available actions to be updated</a:t>
          </a:r>
          <a:r>
            <a:rPr lang="en-GB" sz="1100" baseline="0"/>
            <a:t> to  User Task Table</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142875</xdr:colOff>
      <xdr:row>1</xdr:row>
      <xdr:rowOff>161925</xdr:rowOff>
    </xdr:from>
    <xdr:to>
      <xdr:col>4</xdr:col>
      <xdr:colOff>2209800</xdr:colOff>
      <xdr:row>6</xdr:row>
      <xdr:rowOff>57150</xdr:rowOff>
    </xdr:to>
    <xdr:sp macro="" textlink="">
      <xdr:nvSpPr>
        <xdr:cNvPr id="2" name="TextBox 1">
          <a:extLst>
            <a:ext uri="{FF2B5EF4-FFF2-40B4-BE49-F238E27FC236}">
              <a16:creationId xmlns:a16="http://schemas.microsoft.com/office/drawing/2014/main" id="{0E3AC69A-BF13-4376-AE23-F1879F4A727B}"/>
            </a:ext>
          </a:extLst>
        </xdr:cNvPr>
        <xdr:cNvSpPr txBox="1"/>
      </xdr:nvSpPr>
      <xdr:spPr>
        <a:xfrm>
          <a:off x="7172325" y="352425"/>
          <a:ext cx="3086100" cy="847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 for some customs responses there will be multiple</a:t>
          </a:r>
          <a:r>
            <a:rPr lang="en-GB" sz="1100" baseline="0"/>
            <a:t> options presented e.g. CC189B, these are configured on separate lines with HIT Policy of Collect</a:t>
          </a:r>
        </a:p>
        <a:p>
          <a:endParaRPr lang="en-GB" sz="1100"/>
        </a:p>
      </xdr:txBody>
    </xdr:sp>
    <xdr:clientData/>
  </xdr:twoCellAnchor>
  <xdr:twoCellAnchor editAs="oneCell">
    <xdr:from>
      <xdr:col>5</xdr:col>
      <xdr:colOff>138430</xdr:colOff>
      <xdr:row>0</xdr:row>
      <xdr:rowOff>38100</xdr:rowOff>
    </xdr:from>
    <xdr:to>
      <xdr:col>11</xdr:col>
      <xdr:colOff>92891</xdr:colOff>
      <xdr:row>11</xdr:row>
      <xdr:rowOff>23083</xdr:rowOff>
    </xdr:to>
    <xdr:pic>
      <xdr:nvPicPr>
        <xdr:cNvPr id="5" name="Picture 2">
          <a:extLst>
            <a:ext uri="{FF2B5EF4-FFF2-40B4-BE49-F238E27FC236}">
              <a16:creationId xmlns:a16="http://schemas.microsoft.com/office/drawing/2014/main" id="{A5A7A9D8-A2C6-41D4-8DC5-2B4758EE3ACB}"/>
            </a:ext>
            <a:ext uri="{147F2762-F138-4A5C-976F-8EAC2B608ADB}">
              <a16:predDERef xmlns:a16="http://schemas.microsoft.com/office/drawing/2014/main" pred="{5779153D-1F2B-35E7-993F-0C58CC4A2D25}"/>
            </a:ext>
          </a:extLst>
        </xdr:cNvPr>
        <xdr:cNvPicPr>
          <a:picLocks noChangeAspect="1"/>
        </xdr:cNvPicPr>
      </xdr:nvPicPr>
      <xdr:blipFill>
        <a:blip xmlns:r="http://schemas.openxmlformats.org/officeDocument/2006/relationships" r:embed="rId1"/>
        <a:stretch>
          <a:fillRect/>
        </a:stretch>
      </xdr:blipFill>
      <xdr:spPr>
        <a:xfrm>
          <a:off x="10742930" y="38100"/>
          <a:ext cx="13332641" cy="254847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15240</xdr:colOff>
      <xdr:row>0</xdr:row>
      <xdr:rowOff>0</xdr:rowOff>
    </xdr:from>
    <xdr:to>
      <xdr:col>5</xdr:col>
      <xdr:colOff>0</xdr:colOff>
      <xdr:row>5</xdr:row>
      <xdr:rowOff>1904</xdr:rowOff>
    </xdr:to>
    <xdr:sp macro="" textlink="">
      <xdr:nvSpPr>
        <xdr:cNvPr id="2" name="TextBox 1">
          <a:extLst>
            <a:ext uri="{FF2B5EF4-FFF2-40B4-BE49-F238E27FC236}">
              <a16:creationId xmlns:a16="http://schemas.microsoft.com/office/drawing/2014/main" id="{C81E4B9B-87A5-41F3-A4F3-D7AAC31F1AB9}"/>
            </a:ext>
          </a:extLst>
        </xdr:cNvPr>
        <xdr:cNvSpPr txBox="1"/>
      </xdr:nvSpPr>
      <xdr:spPr>
        <a:xfrm>
          <a:off x="4181475" y="0"/>
          <a:ext cx="4667250" cy="100202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1" i="0" baseline="0">
              <a:solidFill>
                <a:schemeClr val="dk1"/>
              </a:solidFill>
              <a:effectLst/>
              <a:latin typeface="+mn-lt"/>
              <a:ea typeface="+mn-ea"/>
              <a:cs typeface="+mn-cs"/>
            </a:rPr>
            <a:t>Comments: New Rule to support Manifest</a:t>
          </a:r>
          <a:endParaRPr lang="en-GB">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solidFill>
              <a:schemeClr val="dk1"/>
            </a:solidFill>
            <a:effectLst/>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1131569</xdr:colOff>
      <xdr:row>11</xdr:row>
      <xdr:rowOff>85725</xdr:rowOff>
    </xdr:from>
    <xdr:to>
      <xdr:col>6</xdr:col>
      <xdr:colOff>1028699</xdr:colOff>
      <xdr:row>16</xdr:row>
      <xdr:rowOff>291465</xdr:rowOff>
    </xdr:to>
    <xdr:sp macro="" textlink="">
      <xdr:nvSpPr>
        <xdr:cNvPr id="2" name="TextBox 1">
          <a:extLst>
            <a:ext uri="{FF2B5EF4-FFF2-40B4-BE49-F238E27FC236}">
              <a16:creationId xmlns:a16="http://schemas.microsoft.com/office/drawing/2014/main" id="{2707BD85-52FA-6A27-E47C-9CBFFD2B91B1}"/>
            </a:ext>
          </a:extLst>
        </xdr:cNvPr>
        <xdr:cNvSpPr txBox="1"/>
      </xdr:nvSpPr>
      <xdr:spPr>
        <a:xfrm>
          <a:off x="6303644" y="2867025"/>
          <a:ext cx="4640580" cy="1663065"/>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500">
              <a:solidFill>
                <a:schemeClr val="bg1"/>
              </a:solidFill>
            </a:rPr>
            <a:t>Rule was replaced with Calculate Insurare Rate at Header Level</a:t>
          </a:r>
        </a:p>
      </xdr:txBody>
    </xdr:sp>
    <xdr:clientData/>
  </xdr:twoCellAnchor>
</xdr:wsDr>
</file>

<file path=xl/persons/person.xml><?xml version="1.0" encoding="utf-8"?>
<personList xmlns="http://schemas.microsoft.com/office/spreadsheetml/2018/threadedcomments" xmlns:x="http://schemas.openxmlformats.org/spreadsheetml/2006/main">
  <person displayName="Susan Rowland" id="{608A8B71-33C6-478F-81CC-0631AC5227B3}" userId="srowland@fedex.com" providerId="PeoplePicker"/>
  <person displayName="Pedro Pacheco" id="{04B00F3A-5EB0-47EB-A195-BC3280A56321}" userId="pedro.pacheco2@fedex.com" providerId="PeoplePicker"/>
  <person displayName="David Bolos" id="{F3C87552-C940-4B2E-BCC0-A2F8B66759B6}" userId="S::david.bolos@fedex.com::407c0e4a-91c5-4745-ab8f-28bae4856f5c" providerId="AD"/>
  <person displayName="Rajkumar Devakumar" id="{BD0EF0AC-CD3F-4534-B400-B633158E4EA6}" userId="S::rajkumar.devakumar@fedex.com::585f8d6c-41b4-4abf-befa-64500e38b606"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3" dT="2024-09-23T09:20:46.92" personId="{BD0EF0AC-CD3F-4534-B400-B633158E4EA6}" id="{FBCD495C-0E0A-430B-B1CA-4B9A93D64181}">
    <text>@Pedro Pacheco and @Susan Rowland  considering the nature of GEP change codes, we may have more than one condition matches at the same time. Example: when a declaration is in UNWORKED status I may get change code SHP_INFO and SHP_UNIT_SCAN. Where the first one mapped to DATA and the second mapped to MOVEMENT. I think we need to collect the FIRST output instead of Unique. This way whenever I have DATA matched first, I will ignore the output for MOVEMENT as DATA takes care of both in the workflow</text>
    <mentions>
      <mention mentionpersonId="{04B00F3A-5EB0-47EB-A195-BC3280A56321}" mentionId="{532800F5-446A-4ED6-858B-DE1519BF53FF}" startIndex="0" length="14"/>
      <mention mentionpersonId="{608A8B71-33C6-478F-81CC-0631AC5227B3}" mentionId="{C7056D49-D8BB-49C0-9ADF-F66D17F81596}" startIndex="19" length="14"/>
    </mentions>
  </threadedComment>
</ThreadedComments>
</file>

<file path=xl/threadedComments/threadedComment2.xml><?xml version="1.0" encoding="utf-8"?>
<ThreadedComments xmlns="http://schemas.microsoft.com/office/spreadsheetml/2018/threadedcomments" xmlns:x="http://schemas.openxmlformats.org/spreadsheetml/2006/main">
  <threadedComment ref="N43" dT="2025-07-24T10:24:08.29" personId="{F3C87552-C940-4B2E-BCC0-A2F8B66759B6}" id="{45170488-531C-44EE-8514-53489EA4AF66}">
    <text>Truck from LGG</text>
  </threadedComment>
  <threadedComment ref="N44" dT="2025-07-24T13:39:04.65" personId="{F3C87552-C940-4B2E-BCC0-A2F8B66759B6}" id="{FBBEDE4B-E76A-4466-A6C9-D314C0819E8D}">
    <text>Truck from CDG</text>
  </threadedComment>
  <threadedComment ref="O45" dT="2025-07-24T10:24:21.04" personId="{F3C87552-C940-4B2E-BCC0-A2F8B66759B6}" id="{4FB11EC4-50A6-42C1-86FD-912E8DF7DD83}">
    <text xml:space="preserve">Route from LGG
</text>
  </threadedComment>
  <threadedComment ref="O46" dT="2025-07-24T10:24:33.76" personId="{F3C87552-C940-4B2E-BCC0-A2F8B66759B6}" id="{C9D0BAB5-CBB0-43C8-8488-C03C0D91CDA6}">
    <text>Route from CDG</text>
  </threadedComment>
</ThreadedComments>
</file>

<file path=xl/threadedComments/threadedComment3.xml><?xml version="1.0" encoding="utf-8"?>
<ThreadedComments xmlns="http://schemas.microsoft.com/office/spreadsheetml/2018/threadedcomments" xmlns:x="http://schemas.openxmlformats.org/spreadsheetml/2006/main">
  <threadedComment ref="C3" dT="2024-09-23T09:20:46.92" personId="{BD0EF0AC-CD3F-4534-B400-B633158E4EA6}" id="{06858125-BD33-4BF8-A11C-05D8A23174B8}">
    <text>@Pedro Pacheco and @Susan Rowland  considering the nature of GEP change codes, we may have more than one condition matches at the same time. Example: when a declaration is in UNWORKED status I may get change code SHP_INFO and SHP_UNIT_SCAN. Where the first one mapped to DATA and the second mapped to MOVEMENT. I think we need to collect the FIRST output instead of Unique. This way whenever I have DATA matched first, I will ignore the output for MOVEMENT as DATA takes care of both in the workflow</text>
    <mentions>
      <mention mentionpersonId="{04B00F3A-5EB0-47EB-A195-BC3280A56321}" mentionId="{58F7388A-3B2D-4F5C-A0EB-E2E61D6F0F04}" startIndex="0" length="14"/>
      <mention mentionpersonId="{608A8B71-33C6-478F-81CC-0631AC5227B3}" mentionId="{3BA2061D-6C2E-40D7-99A2-4BC9796AECA6}" startIndex="19" length="14"/>
    </mentions>
  </threadedComment>
</ThreadedComment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 Id="rId4" Type="http://schemas.microsoft.com/office/2019/04/relationships/documenttask" Target="../documenttasks/documenttask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 Id="rId5" Type="http://schemas.microsoft.com/office/2019/04/relationships/documenttask" Target="../documenttasks/documenttask2.xml"/><Relationship Id="rId4" Type="http://schemas.microsoft.com/office/2017/10/relationships/threadedComment" Target="../threadedComments/threadedComment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6.xml.rels><?xml version="1.0" encoding="UTF-8" standalone="yes"?>
<Relationships xmlns="http://schemas.openxmlformats.org/package/2006/relationships"><Relationship Id="rId1" Type="http://schemas.openxmlformats.org/officeDocument/2006/relationships/hyperlink" Target="../../../../../:w:/r/teams/TradeTools/_layouts/15/Doc.aspx?sourcedoc=%7B5BB9D68F-3983-42EA-AF96-60E9827C0D36%7D&amp;file=EDT_Microservices_Interface_Manual.docx&amp;action=default&amp;mobileredirect=true" TargetMode="Externa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D9B44-53CF-4DA0-A230-188DFB84AF33}">
  <sheetPr>
    <tabColor rgb="FF7030A0"/>
  </sheetPr>
  <dimension ref="A1:K32"/>
  <sheetViews>
    <sheetView showGridLines="0" zoomScale="85" zoomScaleNormal="85" workbookViewId="0">
      <pane ySplit="1" topLeftCell="A2" activePane="bottomLeft" state="frozen"/>
      <selection activeCell="D5" sqref="D5"/>
      <selection pane="bottomLeft" activeCell="H16" sqref="H16"/>
    </sheetView>
  </sheetViews>
  <sheetFormatPr defaultRowHeight="15" x14ac:dyDescent="0.25"/>
  <cols>
    <col min="1" max="1" width="14" customWidth="1"/>
    <col min="2" max="2" width="11.5703125" customWidth="1"/>
    <col min="3" max="3" width="44" style="38" customWidth="1"/>
    <col min="4" max="4" width="32.42578125" style="43" customWidth="1"/>
    <col min="5" max="5" width="32.28515625" style="43" customWidth="1"/>
    <col min="6" max="6" width="81" style="38" customWidth="1"/>
    <col min="7" max="9" width="13.7109375" customWidth="1"/>
    <col min="10" max="10" width="38.28515625" style="38" customWidth="1"/>
    <col min="11" max="11" width="39.28515625" customWidth="1"/>
  </cols>
  <sheetData>
    <row r="1" spans="1:11" ht="47.25" x14ac:dyDescent="0.25">
      <c r="A1" s="181" t="s">
        <v>0</v>
      </c>
      <c r="B1" s="181" t="s">
        <v>1</v>
      </c>
      <c r="C1" s="181" t="s">
        <v>2</v>
      </c>
      <c r="D1" s="42" t="s">
        <v>3</v>
      </c>
      <c r="E1" s="42" t="s">
        <v>4</v>
      </c>
      <c r="F1" s="41" t="s">
        <v>5</v>
      </c>
      <c r="G1" s="41" t="s">
        <v>6</v>
      </c>
      <c r="H1" s="41" t="s">
        <v>7</v>
      </c>
      <c r="I1" s="41" t="s">
        <v>8</v>
      </c>
      <c r="J1" s="41" t="s">
        <v>9</v>
      </c>
      <c r="K1" s="41" t="s">
        <v>10</v>
      </c>
    </row>
    <row r="2" spans="1:11" ht="30" x14ac:dyDescent="0.25">
      <c r="A2" s="145" t="s">
        <v>11</v>
      </c>
      <c r="B2" s="145"/>
      <c r="C2" s="148" t="s">
        <v>12</v>
      </c>
      <c r="D2" s="145" t="s">
        <v>13</v>
      </c>
      <c r="E2" s="145" t="s">
        <v>14</v>
      </c>
      <c r="F2" s="146" t="s">
        <v>15</v>
      </c>
      <c r="G2" s="242" t="s">
        <v>16</v>
      </c>
      <c r="H2" s="242"/>
      <c r="I2" s="242"/>
      <c r="J2" s="240"/>
      <c r="K2" s="241"/>
    </row>
    <row r="3" spans="1:11" s="47" customFormat="1" ht="45" x14ac:dyDescent="0.25">
      <c r="A3" s="149" t="s">
        <v>17</v>
      </c>
      <c r="B3" s="149"/>
      <c r="C3" s="148" t="s">
        <v>12</v>
      </c>
      <c r="D3" s="145" t="s">
        <v>18</v>
      </c>
      <c r="E3" s="147" t="s">
        <v>18</v>
      </c>
      <c r="F3" s="146" t="s">
        <v>19</v>
      </c>
      <c r="G3" s="147" t="s">
        <v>20</v>
      </c>
      <c r="H3" s="147" t="s">
        <v>20</v>
      </c>
      <c r="I3" s="147" t="s">
        <v>20</v>
      </c>
      <c r="J3" s="238" t="s">
        <v>21</v>
      </c>
      <c r="K3" s="238"/>
    </row>
    <row r="4" spans="1:11" ht="30" x14ac:dyDescent="0.25">
      <c r="A4" s="233" t="s">
        <v>22</v>
      </c>
      <c r="B4" s="233"/>
      <c r="C4" s="148" t="s">
        <v>23</v>
      </c>
      <c r="D4" s="149" t="s">
        <v>24</v>
      </c>
      <c r="E4" s="151" t="s">
        <v>24</v>
      </c>
      <c r="F4" s="150" t="s">
        <v>25</v>
      </c>
      <c r="G4" s="151" t="s">
        <v>20</v>
      </c>
      <c r="H4" s="147" t="s">
        <v>20</v>
      </c>
      <c r="I4" s="147" t="s">
        <v>20</v>
      </c>
      <c r="J4" s="238"/>
      <c r="K4" s="238"/>
    </row>
    <row r="5" spans="1:11" ht="30" x14ac:dyDescent="0.25">
      <c r="A5" s="233" t="s">
        <v>26</v>
      </c>
      <c r="B5" s="233"/>
      <c r="C5" s="148" t="s">
        <v>27</v>
      </c>
      <c r="D5" s="149" t="s">
        <v>28</v>
      </c>
      <c r="E5" s="151" t="s">
        <v>28</v>
      </c>
      <c r="F5" s="150" t="s">
        <v>29</v>
      </c>
      <c r="G5" s="151" t="s">
        <v>20</v>
      </c>
      <c r="H5" s="147" t="s">
        <v>20</v>
      </c>
      <c r="I5" s="151" t="s">
        <v>20</v>
      </c>
      <c r="J5" s="238"/>
      <c r="K5" s="239" t="s">
        <v>30</v>
      </c>
    </row>
    <row r="6" spans="1:11" ht="45" x14ac:dyDescent="0.25">
      <c r="A6" s="234" t="s">
        <v>31</v>
      </c>
      <c r="B6" s="234"/>
      <c r="C6" s="155" t="s">
        <v>32</v>
      </c>
      <c r="D6" s="145" t="s">
        <v>33</v>
      </c>
      <c r="E6" s="147" t="s">
        <v>34</v>
      </c>
      <c r="F6" s="146" t="s">
        <v>35</v>
      </c>
      <c r="G6" s="180" t="s">
        <v>20</v>
      </c>
      <c r="H6" s="180" t="s">
        <v>20</v>
      </c>
      <c r="I6" s="180" t="s">
        <v>20</v>
      </c>
      <c r="J6" s="240"/>
      <c r="K6" s="241"/>
    </row>
    <row r="7" spans="1:11" ht="45" x14ac:dyDescent="0.25">
      <c r="A7" s="234" t="s">
        <v>31</v>
      </c>
      <c r="B7" s="234"/>
      <c r="C7" s="155" t="s">
        <v>32</v>
      </c>
      <c r="D7" s="155" t="s">
        <v>36</v>
      </c>
      <c r="E7" s="386" t="s">
        <v>37</v>
      </c>
      <c r="F7" s="156" t="s">
        <v>38</v>
      </c>
      <c r="G7" s="180" t="s">
        <v>20</v>
      </c>
      <c r="H7" s="180" t="s">
        <v>20</v>
      </c>
      <c r="I7" s="236" t="s">
        <v>39</v>
      </c>
      <c r="J7" s="240"/>
      <c r="K7" s="241"/>
    </row>
    <row r="8" spans="1:11" s="47" customFormat="1" ht="30" x14ac:dyDescent="0.25">
      <c r="A8" s="155" t="s">
        <v>31</v>
      </c>
      <c r="B8" s="155"/>
      <c r="C8" s="155" t="s">
        <v>32</v>
      </c>
      <c r="D8" s="154" t="s">
        <v>40</v>
      </c>
      <c r="E8" s="180" t="s">
        <v>40</v>
      </c>
      <c r="F8" s="155" t="s">
        <v>41</v>
      </c>
      <c r="G8" s="180" t="s">
        <v>20</v>
      </c>
      <c r="H8" s="180" t="s">
        <v>20</v>
      </c>
      <c r="I8" s="236" t="s">
        <v>39</v>
      </c>
      <c r="J8" s="240"/>
      <c r="K8" s="241"/>
    </row>
    <row r="9" spans="1:11" s="47" customFormat="1" ht="45" x14ac:dyDescent="0.25">
      <c r="A9" s="155" t="s">
        <v>31</v>
      </c>
      <c r="B9" s="155"/>
      <c r="C9" s="155" t="s">
        <v>32</v>
      </c>
      <c r="D9" s="145" t="s">
        <v>42</v>
      </c>
      <c r="E9" s="147" t="s">
        <v>43</v>
      </c>
      <c r="F9" s="146" t="s">
        <v>44</v>
      </c>
      <c r="G9" s="180" t="s">
        <v>20</v>
      </c>
      <c r="H9" s="180" t="s">
        <v>20</v>
      </c>
      <c r="I9" s="180" t="s">
        <v>20</v>
      </c>
      <c r="J9" s="240"/>
      <c r="K9" s="241"/>
    </row>
    <row r="10" spans="1:11" x14ac:dyDescent="0.25">
      <c r="A10" s="155" t="s">
        <v>31</v>
      </c>
      <c r="B10" s="155"/>
      <c r="C10" s="155" t="s">
        <v>32</v>
      </c>
      <c r="D10" s="145" t="s">
        <v>42</v>
      </c>
      <c r="E10" s="145" t="s">
        <v>45</v>
      </c>
      <c r="F10" s="146" t="s">
        <v>46</v>
      </c>
      <c r="G10" s="180" t="s">
        <v>20</v>
      </c>
      <c r="H10" s="153" t="s">
        <v>47</v>
      </c>
      <c r="I10" s="236" t="s">
        <v>39</v>
      </c>
      <c r="J10" s="240"/>
      <c r="K10" s="241"/>
    </row>
    <row r="11" spans="1:11" ht="30" x14ac:dyDescent="0.25">
      <c r="A11" s="155" t="s">
        <v>48</v>
      </c>
      <c r="B11" s="155"/>
      <c r="C11" s="155" t="s">
        <v>49</v>
      </c>
      <c r="D11" s="145" t="s">
        <v>50</v>
      </c>
      <c r="E11" s="147" t="s">
        <v>50</v>
      </c>
      <c r="F11" s="146" t="s">
        <v>51</v>
      </c>
      <c r="G11" s="147" t="s">
        <v>20</v>
      </c>
      <c r="H11" s="147" t="s">
        <v>20</v>
      </c>
      <c r="I11" s="147" t="s">
        <v>20</v>
      </c>
      <c r="J11" s="238"/>
      <c r="K11" s="239" t="s">
        <v>52</v>
      </c>
    </row>
    <row r="12" spans="1:11" ht="60" x14ac:dyDescent="0.25">
      <c r="A12" s="148" t="s">
        <v>53</v>
      </c>
      <c r="B12" s="148"/>
      <c r="C12" s="148" t="s">
        <v>54</v>
      </c>
      <c r="D12" s="145" t="s">
        <v>55</v>
      </c>
      <c r="E12" s="147" t="s">
        <v>56</v>
      </c>
      <c r="F12" s="146" t="s">
        <v>57</v>
      </c>
      <c r="G12" s="147" t="s">
        <v>20</v>
      </c>
      <c r="H12" s="147" t="s">
        <v>20</v>
      </c>
      <c r="I12" s="147" t="s">
        <v>20</v>
      </c>
      <c r="J12" s="238" t="s">
        <v>58</v>
      </c>
      <c r="K12" s="238"/>
    </row>
    <row r="13" spans="1:11" ht="45" x14ac:dyDescent="0.25">
      <c r="A13" s="231" t="s">
        <v>53</v>
      </c>
      <c r="B13" s="231"/>
      <c r="C13" s="148" t="s">
        <v>54</v>
      </c>
      <c r="D13" s="145" t="s">
        <v>55</v>
      </c>
      <c r="E13" s="147" t="s">
        <v>59</v>
      </c>
      <c r="F13" s="146" t="s">
        <v>60</v>
      </c>
      <c r="G13" s="147" t="s">
        <v>20</v>
      </c>
      <c r="H13" s="147" t="s">
        <v>20</v>
      </c>
      <c r="I13" s="147" t="s">
        <v>20</v>
      </c>
      <c r="J13" s="238"/>
      <c r="K13" s="238" t="s">
        <v>61</v>
      </c>
    </row>
    <row r="14" spans="1:11" ht="30" x14ac:dyDescent="0.25">
      <c r="A14" s="148" t="s">
        <v>53</v>
      </c>
      <c r="B14" s="148"/>
      <c r="C14" s="148" t="s">
        <v>54</v>
      </c>
      <c r="D14" s="145" t="s">
        <v>55</v>
      </c>
      <c r="E14" s="147" t="s">
        <v>62</v>
      </c>
      <c r="F14" s="146" t="s">
        <v>63</v>
      </c>
      <c r="G14" s="147" t="s">
        <v>20</v>
      </c>
      <c r="H14" s="147" t="s">
        <v>20</v>
      </c>
      <c r="I14" s="147" t="s">
        <v>20</v>
      </c>
      <c r="J14" s="285"/>
      <c r="K14" s="238"/>
    </row>
    <row r="15" spans="1:11" ht="90" x14ac:dyDescent="0.25">
      <c r="A15" s="148" t="s">
        <v>53</v>
      </c>
      <c r="B15" s="148"/>
      <c r="C15" s="148" t="s">
        <v>54</v>
      </c>
      <c r="D15" s="145" t="s">
        <v>28</v>
      </c>
      <c r="E15" s="147" t="s">
        <v>28</v>
      </c>
      <c r="F15" s="146" t="s">
        <v>64</v>
      </c>
      <c r="G15" s="147" t="s">
        <v>20</v>
      </c>
      <c r="H15" s="147" t="s">
        <v>20</v>
      </c>
      <c r="I15" s="236" t="s">
        <v>39</v>
      </c>
      <c r="J15" s="240"/>
      <c r="K15" s="238" t="s">
        <v>65</v>
      </c>
    </row>
    <row r="16" spans="1:11" ht="45" x14ac:dyDescent="0.25">
      <c r="A16" s="145" t="s">
        <v>66</v>
      </c>
      <c r="B16" s="145"/>
      <c r="C16" s="148" t="s">
        <v>67</v>
      </c>
      <c r="D16" s="145" t="s">
        <v>68</v>
      </c>
      <c r="E16" s="145" t="s">
        <v>68</v>
      </c>
      <c r="F16" s="146" t="s">
        <v>69</v>
      </c>
      <c r="G16" s="147" t="s">
        <v>20</v>
      </c>
      <c r="H16" s="153" t="s">
        <v>47</v>
      </c>
      <c r="I16" s="147" t="s">
        <v>20</v>
      </c>
      <c r="J16" s="238"/>
      <c r="K16" s="238"/>
    </row>
    <row r="17" spans="1:11" x14ac:dyDescent="0.25">
      <c r="A17" s="145" t="s">
        <v>66</v>
      </c>
      <c r="B17" s="145"/>
      <c r="C17" s="148" t="s">
        <v>67</v>
      </c>
      <c r="D17" s="145" t="s">
        <v>70</v>
      </c>
      <c r="E17" s="387" t="s">
        <v>71</v>
      </c>
      <c r="F17" s="156" t="s">
        <v>72</v>
      </c>
      <c r="G17" s="180" t="s">
        <v>20</v>
      </c>
      <c r="H17" s="180" t="s">
        <v>20</v>
      </c>
      <c r="I17" s="236" t="s">
        <v>39</v>
      </c>
      <c r="J17" s="240"/>
      <c r="K17" s="241"/>
    </row>
    <row r="18" spans="1:11" x14ac:dyDescent="0.25">
      <c r="A18" s="145" t="s">
        <v>73</v>
      </c>
      <c r="B18" s="145"/>
      <c r="C18" s="148" t="s">
        <v>74</v>
      </c>
      <c r="D18" s="145" t="s">
        <v>75</v>
      </c>
      <c r="E18" s="145" t="s">
        <v>76</v>
      </c>
      <c r="F18" s="146" t="s">
        <v>77</v>
      </c>
      <c r="G18" s="242" t="s">
        <v>16</v>
      </c>
      <c r="H18" s="242"/>
      <c r="I18" s="242"/>
      <c r="J18" s="240"/>
      <c r="K18" s="241"/>
    </row>
    <row r="19" spans="1:11" x14ac:dyDescent="0.25">
      <c r="A19" s="145" t="s">
        <v>78</v>
      </c>
      <c r="B19" s="145"/>
      <c r="C19" s="148" t="s">
        <v>79</v>
      </c>
      <c r="D19" s="145" t="s">
        <v>80</v>
      </c>
      <c r="E19" s="147" t="s">
        <v>80</v>
      </c>
      <c r="F19" s="146" t="s">
        <v>81</v>
      </c>
      <c r="G19" s="147" t="s">
        <v>20</v>
      </c>
      <c r="H19" s="147" t="s">
        <v>20</v>
      </c>
      <c r="I19" s="237" t="s">
        <v>39</v>
      </c>
      <c r="J19" s="238"/>
      <c r="K19" s="238"/>
    </row>
    <row r="20" spans="1:11" ht="30" x14ac:dyDescent="0.25">
      <c r="A20" s="145" t="s">
        <v>78</v>
      </c>
      <c r="B20" s="145"/>
      <c r="C20" s="148" t="s">
        <v>79</v>
      </c>
      <c r="D20" s="145" t="s">
        <v>82</v>
      </c>
      <c r="E20" s="147" t="s">
        <v>82</v>
      </c>
      <c r="F20" s="146" t="s">
        <v>83</v>
      </c>
      <c r="G20" s="147" t="s">
        <v>20</v>
      </c>
      <c r="H20" s="147" t="s">
        <v>20</v>
      </c>
      <c r="I20" s="147" t="s">
        <v>20</v>
      </c>
      <c r="J20" s="238"/>
      <c r="K20" s="238" t="s">
        <v>84</v>
      </c>
    </row>
    <row r="21" spans="1:11" ht="30" x14ac:dyDescent="0.25">
      <c r="A21" s="145" t="s">
        <v>78</v>
      </c>
      <c r="B21" s="145"/>
      <c r="C21" s="148" t="s">
        <v>79</v>
      </c>
      <c r="D21" s="145" t="s">
        <v>85</v>
      </c>
      <c r="E21" s="147" t="s">
        <v>85</v>
      </c>
      <c r="F21" s="146" t="s">
        <v>86</v>
      </c>
      <c r="G21" s="147" t="s">
        <v>20</v>
      </c>
      <c r="H21" s="147" t="s">
        <v>20</v>
      </c>
      <c r="I21" s="237" t="s">
        <v>39</v>
      </c>
      <c r="J21" s="238"/>
      <c r="K21" s="238" t="s">
        <v>87</v>
      </c>
    </row>
    <row r="22" spans="1:11" x14ac:dyDescent="0.25">
      <c r="A22" s="145" t="s">
        <v>78</v>
      </c>
      <c r="B22" s="145"/>
      <c r="C22" s="148" t="s">
        <v>79</v>
      </c>
      <c r="D22" s="145" t="s">
        <v>88</v>
      </c>
      <c r="E22" s="147" t="s">
        <v>88</v>
      </c>
      <c r="F22" s="146" t="s">
        <v>81</v>
      </c>
      <c r="G22" s="147" t="s">
        <v>20</v>
      </c>
      <c r="H22" s="152" t="s">
        <v>20</v>
      </c>
      <c r="I22" s="153" t="s">
        <v>47</v>
      </c>
      <c r="J22" s="238" t="s">
        <v>89</v>
      </c>
      <c r="K22" s="238" t="s">
        <v>90</v>
      </c>
    </row>
    <row r="23" spans="1:11" ht="30" x14ac:dyDescent="0.25">
      <c r="A23" s="145" t="s">
        <v>78</v>
      </c>
      <c r="B23" s="145"/>
      <c r="C23" s="148" t="s">
        <v>79</v>
      </c>
      <c r="D23" s="43" t="s">
        <v>79</v>
      </c>
      <c r="E23" s="43" t="s">
        <v>91</v>
      </c>
      <c r="F23" s="38" t="s">
        <v>92</v>
      </c>
      <c r="G23" s="242" t="s">
        <v>16</v>
      </c>
      <c r="H23" s="242"/>
      <c r="I23" s="242"/>
      <c r="J23" s="240"/>
      <c r="K23" s="241"/>
    </row>
    <row r="24" spans="1:11" ht="30" x14ac:dyDescent="0.25">
      <c r="A24" s="154" t="s">
        <v>93</v>
      </c>
      <c r="B24" s="154"/>
      <c r="C24" s="146" t="s">
        <v>94</v>
      </c>
      <c r="D24" s="155" t="s">
        <v>50</v>
      </c>
      <c r="E24" s="155" t="s">
        <v>95</v>
      </c>
      <c r="F24" s="156" t="s">
        <v>96</v>
      </c>
      <c r="G24" s="180" t="s">
        <v>20</v>
      </c>
      <c r="H24" s="147" t="s">
        <v>20</v>
      </c>
      <c r="I24" s="236" t="s">
        <v>39</v>
      </c>
      <c r="J24" s="240"/>
      <c r="K24" s="241"/>
    </row>
    <row r="25" spans="1:11" ht="30" x14ac:dyDescent="0.25">
      <c r="A25" s="154" t="s">
        <v>93</v>
      </c>
      <c r="B25" s="154"/>
      <c r="C25" s="146" t="s">
        <v>94</v>
      </c>
      <c r="D25" s="155" t="s">
        <v>97</v>
      </c>
      <c r="E25" s="155" t="s">
        <v>97</v>
      </c>
      <c r="F25" s="156" t="s">
        <v>98</v>
      </c>
      <c r="G25" s="180" t="s">
        <v>20</v>
      </c>
      <c r="H25" s="147" t="s">
        <v>20</v>
      </c>
      <c r="I25" s="236" t="s">
        <v>39</v>
      </c>
      <c r="J25" s="240"/>
      <c r="K25" s="241"/>
    </row>
    <row r="26" spans="1:11" ht="45" x14ac:dyDescent="0.25">
      <c r="A26" s="232" t="s">
        <v>99</v>
      </c>
      <c r="B26" s="232"/>
      <c r="C26" s="232" t="s">
        <v>100</v>
      </c>
      <c r="D26" s="145" t="s">
        <v>101</v>
      </c>
      <c r="E26" s="147" t="s">
        <v>102</v>
      </c>
      <c r="F26" s="146" t="s">
        <v>103</v>
      </c>
      <c r="G26" s="180" t="s">
        <v>20</v>
      </c>
      <c r="H26" s="180" t="s">
        <v>20</v>
      </c>
      <c r="I26" s="367" t="s">
        <v>104</v>
      </c>
      <c r="J26" s="240"/>
      <c r="K26" s="368" t="s">
        <v>105</v>
      </c>
    </row>
    <row r="27" spans="1:11" ht="30" x14ac:dyDescent="0.25">
      <c r="A27" s="145"/>
      <c r="B27" s="145"/>
      <c r="C27" s="148" t="s">
        <v>32</v>
      </c>
      <c r="D27" s="149" t="s">
        <v>106</v>
      </c>
      <c r="E27" s="151" t="s">
        <v>106</v>
      </c>
      <c r="F27" s="150" t="s">
        <v>107</v>
      </c>
      <c r="G27" s="151" t="s">
        <v>20</v>
      </c>
      <c r="H27" s="147" t="s">
        <v>20</v>
      </c>
      <c r="I27" s="147" t="s">
        <v>20</v>
      </c>
      <c r="J27" s="238"/>
      <c r="K27" s="238"/>
    </row>
    <row r="28" spans="1:11" x14ac:dyDescent="0.25">
      <c r="A28" s="145"/>
      <c r="B28" s="145"/>
      <c r="C28" s="145"/>
      <c r="D28" s="154" t="s">
        <v>108</v>
      </c>
      <c r="E28" s="154" t="s">
        <v>108</v>
      </c>
      <c r="F28" s="235" t="s">
        <v>109</v>
      </c>
      <c r="G28" s="242" t="s">
        <v>16</v>
      </c>
      <c r="H28" s="242"/>
      <c r="I28" s="242"/>
      <c r="J28" s="240"/>
      <c r="K28" s="241"/>
    </row>
    <row r="31" spans="1:11" x14ac:dyDescent="0.25">
      <c r="A31" t="s">
        <v>110</v>
      </c>
      <c r="D31" s="43" t="s">
        <v>111</v>
      </c>
      <c r="E31" s="43" t="s">
        <v>112</v>
      </c>
    </row>
    <row r="32" spans="1:11" x14ac:dyDescent="0.25">
      <c r="A32" t="s">
        <v>73</v>
      </c>
    </row>
  </sheetData>
  <autoFilter ref="A1:K28" xr:uid="{C08D9B44-53CF-4DA0-A230-188DFB84AF33}">
    <sortState xmlns:xlrd2="http://schemas.microsoft.com/office/spreadsheetml/2017/richdata2" ref="A2:K28">
      <sortCondition ref="A1:A28"/>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91FE1-DD72-4037-A9E0-0BD21DEB5185}">
  <sheetPr>
    <tabColor rgb="FF7030A0"/>
  </sheetPr>
  <dimension ref="A1:E31"/>
  <sheetViews>
    <sheetView workbookViewId="0">
      <selection activeCell="E31" sqref="E31"/>
    </sheetView>
  </sheetViews>
  <sheetFormatPr defaultRowHeight="15" x14ac:dyDescent="0.25"/>
  <cols>
    <col min="1" max="1" width="41.28515625" bestFit="1" customWidth="1"/>
    <col min="2" max="2" width="29.85546875" style="98" customWidth="1"/>
    <col min="3" max="3" width="25.28515625" customWidth="1"/>
    <col min="4" max="4" width="26" style="44" customWidth="1"/>
    <col min="5" max="5" width="80.42578125" bestFit="1" customWidth="1"/>
  </cols>
  <sheetData>
    <row r="1" spans="1:5" x14ac:dyDescent="0.25">
      <c r="A1" s="39" t="s">
        <v>113</v>
      </c>
      <c r="B1" s="101" t="s">
        <v>114</v>
      </c>
      <c r="C1" s="39" t="s">
        <v>115</v>
      </c>
      <c r="D1" s="45" t="s">
        <v>116</v>
      </c>
      <c r="E1" s="40" t="s">
        <v>117</v>
      </c>
    </row>
    <row r="2" spans="1:5" ht="45" x14ac:dyDescent="0.25">
      <c r="A2" t="s">
        <v>118</v>
      </c>
      <c r="B2" s="98">
        <v>45572</v>
      </c>
      <c r="C2" t="s">
        <v>119</v>
      </c>
      <c r="D2" s="44">
        <v>305607</v>
      </c>
      <c r="E2" s="38" t="s">
        <v>120</v>
      </c>
    </row>
    <row r="3" spans="1:5" s="47" customFormat="1" ht="30" x14ac:dyDescent="0.25">
      <c r="A3" s="47" t="s">
        <v>121</v>
      </c>
      <c r="B3" s="102" t="s">
        <v>122</v>
      </c>
      <c r="C3" s="47" t="s">
        <v>123</v>
      </c>
      <c r="D3" s="59"/>
      <c r="E3" s="60" t="s">
        <v>124</v>
      </c>
    </row>
    <row r="4" spans="1:5" ht="30" x14ac:dyDescent="0.25">
      <c r="A4" s="26" t="s">
        <v>68</v>
      </c>
      <c r="B4" s="98">
        <v>45597</v>
      </c>
      <c r="C4" t="s">
        <v>119</v>
      </c>
      <c r="D4" s="44">
        <v>305607</v>
      </c>
      <c r="E4" s="60" t="s">
        <v>125</v>
      </c>
    </row>
    <row r="5" spans="1:5" ht="30" x14ac:dyDescent="0.25">
      <c r="A5" t="s">
        <v>126</v>
      </c>
      <c r="B5" s="98">
        <v>45674</v>
      </c>
      <c r="C5" t="s">
        <v>119</v>
      </c>
      <c r="D5" s="44">
        <v>305607</v>
      </c>
      <c r="E5" s="38" t="s">
        <v>127</v>
      </c>
    </row>
    <row r="6" spans="1:5" ht="30" x14ac:dyDescent="0.25">
      <c r="A6" t="s">
        <v>126</v>
      </c>
      <c r="B6" s="98">
        <v>45674</v>
      </c>
      <c r="C6" t="s">
        <v>119</v>
      </c>
      <c r="D6" s="44">
        <v>305607</v>
      </c>
      <c r="E6" s="38" t="s">
        <v>128</v>
      </c>
    </row>
    <row r="7" spans="1:5" x14ac:dyDescent="0.25">
      <c r="A7" t="s">
        <v>129</v>
      </c>
      <c r="B7" s="98">
        <v>45712</v>
      </c>
      <c r="C7" t="s">
        <v>119</v>
      </c>
      <c r="D7" s="44">
        <v>305607</v>
      </c>
      <c r="E7" s="38" t="s">
        <v>130</v>
      </c>
    </row>
    <row r="8" spans="1:5" s="47" customFormat="1" x14ac:dyDescent="0.25">
      <c r="A8" s="47" t="s">
        <v>36</v>
      </c>
      <c r="B8" s="98">
        <v>45712</v>
      </c>
      <c r="C8" s="47" t="s">
        <v>119</v>
      </c>
      <c r="D8" s="59">
        <v>305607</v>
      </c>
      <c r="E8" s="47" t="s">
        <v>131</v>
      </c>
    </row>
    <row r="9" spans="1:5" s="47" customFormat="1" x14ac:dyDescent="0.25">
      <c r="A9" s="43" t="s">
        <v>132</v>
      </c>
      <c r="B9" s="98">
        <v>45712</v>
      </c>
      <c r="C9" s="47" t="s">
        <v>119</v>
      </c>
      <c r="D9" s="59">
        <v>305607</v>
      </c>
      <c r="E9" s="47" t="s">
        <v>133</v>
      </c>
    </row>
    <row r="10" spans="1:5" x14ac:dyDescent="0.25">
      <c r="A10" s="99" t="s">
        <v>97</v>
      </c>
      <c r="B10" s="98">
        <v>45712</v>
      </c>
      <c r="C10" t="s">
        <v>119</v>
      </c>
      <c r="D10" s="44">
        <v>305607</v>
      </c>
      <c r="E10" s="38" t="s">
        <v>134</v>
      </c>
    </row>
    <row r="11" spans="1:5" x14ac:dyDescent="0.25">
      <c r="A11" t="s">
        <v>135</v>
      </c>
      <c r="B11" s="98">
        <v>45712</v>
      </c>
      <c r="C11" t="s">
        <v>119</v>
      </c>
      <c r="D11" s="44">
        <v>305607</v>
      </c>
      <c r="E11" s="38" t="s">
        <v>136</v>
      </c>
    </row>
    <row r="12" spans="1:5" x14ac:dyDescent="0.25">
      <c r="A12" t="s">
        <v>137</v>
      </c>
      <c r="B12" s="98">
        <v>45737</v>
      </c>
      <c r="C12" t="s">
        <v>119</v>
      </c>
      <c r="D12" s="44">
        <v>305607</v>
      </c>
      <c r="E12" s="38" t="s">
        <v>138</v>
      </c>
    </row>
    <row r="13" spans="1:5" ht="30" x14ac:dyDescent="0.25">
      <c r="A13" t="s">
        <v>121</v>
      </c>
      <c r="B13" s="98">
        <v>45755</v>
      </c>
      <c r="C13" t="s">
        <v>119</v>
      </c>
      <c r="D13" s="44">
        <v>305607</v>
      </c>
      <c r="E13" s="38" t="s">
        <v>139</v>
      </c>
    </row>
    <row r="14" spans="1:5" ht="30" x14ac:dyDescent="0.25">
      <c r="A14" t="s">
        <v>126</v>
      </c>
      <c r="B14" s="98">
        <v>45755</v>
      </c>
      <c r="C14" t="s">
        <v>119</v>
      </c>
      <c r="D14" s="44">
        <v>305607</v>
      </c>
      <c r="E14" s="38" t="s">
        <v>140</v>
      </c>
    </row>
    <row r="15" spans="1:5" ht="30" x14ac:dyDescent="0.25">
      <c r="A15" t="s">
        <v>141</v>
      </c>
      <c r="B15" s="98">
        <v>45755</v>
      </c>
      <c r="C15" t="s">
        <v>119</v>
      </c>
      <c r="D15" s="44">
        <v>305607</v>
      </c>
      <c r="E15" s="38" t="s">
        <v>140</v>
      </c>
    </row>
    <row r="16" spans="1:5" x14ac:dyDescent="0.25">
      <c r="A16" t="s">
        <v>97</v>
      </c>
      <c r="B16" s="98">
        <v>45777</v>
      </c>
      <c r="C16" t="s">
        <v>119</v>
      </c>
      <c r="D16" s="44">
        <v>305607</v>
      </c>
      <c r="E16" s="38" t="s">
        <v>142</v>
      </c>
    </row>
    <row r="17" spans="1:5" x14ac:dyDescent="0.25">
      <c r="A17" t="s">
        <v>43</v>
      </c>
      <c r="B17" s="98">
        <v>45793</v>
      </c>
      <c r="C17" t="s">
        <v>119</v>
      </c>
      <c r="D17" s="44">
        <v>305607</v>
      </c>
      <c r="E17" s="38" t="s">
        <v>143</v>
      </c>
    </row>
    <row r="18" spans="1:5" x14ac:dyDescent="0.25">
      <c r="A18" s="145" t="s">
        <v>144</v>
      </c>
      <c r="B18" s="98">
        <v>45924</v>
      </c>
      <c r="C18" t="s">
        <v>119</v>
      </c>
      <c r="D18" s="44">
        <v>305607</v>
      </c>
      <c r="E18" s="38" t="s">
        <v>145</v>
      </c>
    </row>
    <row r="19" spans="1:5" x14ac:dyDescent="0.25">
      <c r="A19" t="s">
        <v>108</v>
      </c>
      <c r="B19" s="98">
        <v>45793</v>
      </c>
      <c r="C19" t="s">
        <v>119</v>
      </c>
      <c r="D19" s="44">
        <v>305607</v>
      </c>
      <c r="E19" s="38" t="s">
        <v>143</v>
      </c>
    </row>
    <row r="20" spans="1:5" x14ac:dyDescent="0.25">
      <c r="A20" s="145" t="s">
        <v>102</v>
      </c>
      <c r="B20" s="98">
        <v>45793</v>
      </c>
      <c r="C20" t="s">
        <v>119</v>
      </c>
      <c r="D20" s="44">
        <v>305607</v>
      </c>
      <c r="E20" s="38" t="s">
        <v>143</v>
      </c>
    </row>
    <row r="21" spans="1:5" x14ac:dyDescent="0.25">
      <c r="A21" t="s">
        <v>13</v>
      </c>
      <c r="B21" s="98">
        <v>45793</v>
      </c>
      <c r="C21" t="s">
        <v>119</v>
      </c>
      <c r="D21" s="44">
        <v>305607</v>
      </c>
      <c r="E21" s="38" t="s">
        <v>143</v>
      </c>
    </row>
    <row r="22" spans="1:5" x14ac:dyDescent="0.25">
      <c r="A22" s="43" t="s">
        <v>146</v>
      </c>
      <c r="B22" s="98">
        <v>45841</v>
      </c>
      <c r="C22" t="s">
        <v>119</v>
      </c>
      <c r="D22" s="44">
        <v>305607</v>
      </c>
      <c r="E22" s="38" t="s">
        <v>147</v>
      </c>
    </row>
    <row r="23" spans="1:5" x14ac:dyDescent="0.25">
      <c r="A23" t="s">
        <v>148</v>
      </c>
      <c r="B23" s="98">
        <v>45875</v>
      </c>
      <c r="C23" t="s">
        <v>119</v>
      </c>
      <c r="D23" s="44">
        <v>305607</v>
      </c>
      <c r="E23" s="38" t="s">
        <v>143</v>
      </c>
    </row>
    <row r="24" spans="1:5" x14ac:dyDescent="0.25">
      <c r="A24" t="s">
        <v>76</v>
      </c>
      <c r="B24" s="98">
        <v>45924</v>
      </c>
      <c r="C24" t="s">
        <v>119</v>
      </c>
      <c r="D24" s="44">
        <v>305607</v>
      </c>
      <c r="E24" s="38" t="s">
        <v>143</v>
      </c>
    </row>
    <row r="25" spans="1:5" ht="45" x14ac:dyDescent="0.25">
      <c r="A25" t="s">
        <v>149</v>
      </c>
      <c r="B25" s="98">
        <v>45924</v>
      </c>
      <c r="C25" t="s">
        <v>119</v>
      </c>
      <c r="D25" s="44">
        <v>305607</v>
      </c>
      <c r="E25" s="38" t="s">
        <v>150</v>
      </c>
    </row>
    <row r="26" spans="1:5" x14ac:dyDescent="0.25">
      <c r="A26" t="s">
        <v>151</v>
      </c>
      <c r="B26" s="98">
        <v>45924</v>
      </c>
      <c r="C26" t="s">
        <v>119</v>
      </c>
      <c r="D26" s="44">
        <v>305607</v>
      </c>
      <c r="E26" s="38" t="s">
        <v>152</v>
      </c>
    </row>
    <row r="27" spans="1:5" x14ac:dyDescent="0.25">
      <c r="A27" t="s">
        <v>121</v>
      </c>
      <c r="B27" s="98">
        <v>45924</v>
      </c>
      <c r="C27" t="s">
        <v>119</v>
      </c>
      <c r="D27" s="44">
        <v>305607</v>
      </c>
      <c r="E27" s="38" t="s">
        <v>153</v>
      </c>
    </row>
    <row r="28" spans="1:5" x14ac:dyDescent="0.25">
      <c r="A28" t="s">
        <v>28</v>
      </c>
      <c r="B28" s="98">
        <v>45924</v>
      </c>
      <c r="C28" t="s">
        <v>119</v>
      </c>
      <c r="D28" s="44">
        <v>305607</v>
      </c>
      <c r="E28" s="38" t="s">
        <v>154</v>
      </c>
    </row>
    <row r="29" spans="1:5" x14ac:dyDescent="0.25">
      <c r="A29" t="s">
        <v>118</v>
      </c>
      <c r="B29" s="98">
        <v>45924</v>
      </c>
      <c r="C29" t="s">
        <v>119</v>
      </c>
      <c r="D29" s="44">
        <v>305607</v>
      </c>
      <c r="E29" s="38" t="s">
        <v>155</v>
      </c>
    </row>
    <row r="30" spans="1:5" ht="30" x14ac:dyDescent="0.25">
      <c r="A30" t="s">
        <v>106</v>
      </c>
      <c r="B30" s="98">
        <v>45924</v>
      </c>
      <c r="C30" t="s">
        <v>119</v>
      </c>
      <c r="D30" s="44">
        <v>305607</v>
      </c>
      <c r="E30" s="38" t="s">
        <v>156</v>
      </c>
    </row>
    <row r="31" spans="1:5" ht="30" x14ac:dyDescent="0.25">
      <c r="A31" t="s">
        <v>118</v>
      </c>
      <c r="B31" s="98">
        <v>45939</v>
      </c>
      <c r="C31" t="s">
        <v>119</v>
      </c>
      <c r="D31" s="44">
        <v>305607</v>
      </c>
      <c r="E31" s="38" t="s">
        <v>157</v>
      </c>
    </row>
  </sheetData>
  <autoFilter ref="A1:E30" xr:uid="{56B91FE1-DD72-4037-A9E0-0BD21DEB5185}"/>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6A6A3-D119-4BB1-854A-2A9E64FE16B3}">
  <sheetPr>
    <tabColor theme="9" tint="-0.499984740745262"/>
  </sheetPr>
  <dimension ref="A1:G25"/>
  <sheetViews>
    <sheetView showGridLines="0" zoomScaleNormal="100" workbookViewId="0">
      <selection activeCell="A11" sqref="A11:XFD11"/>
    </sheetView>
  </sheetViews>
  <sheetFormatPr defaultColWidth="45" defaultRowHeight="15" x14ac:dyDescent="0.25"/>
  <cols>
    <col min="1" max="1" width="6.28515625" customWidth="1"/>
    <col min="2" max="2" width="26.28515625" customWidth="1"/>
    <col min="3" max="3" width="40.7109375" customWidth="1"/>
    <col min="4" max="4" width="36.28515625" customWidth="1"/>
    <col min="5" max="5" width="7.5703125" customWidth="1"/>
    <col min="6" max="6" width="28" customWidth="1"/>
  </cols>
  <sheetData>
    <row r="1" spans="1:6" ht="17.25" x14ac:dyDescent="0.25">
      <c r="B1" s="2" t="s">
        <v>3</v>
      </c>
      <c r="C1" s="37" t="s">
        <v>18</v>
      </c>
    </row>
    <row r="2" spans="1:6" ht="17.25" x14ac:dyDescent="0.25">
      <c r="B2" s="2" t="s">
        <v>158</v>
      </c>
      <c r="C2" s="1" t="s">
        <v>18</v>
      </c>
    </row>
    <row r="3" spans="1:6" s="47" customFormat="1" ht="14.25" customHeight="1" x14ac:dyDescent="0.25">
      <c r="B3" s="48" t="s">
        <v>159</v>
      </c>
      <c r="C3" s="49" t="s">
        <v>160</v>
      </c>
      <c r="D3" s="50" t="s">
        <v>161</v>
      </c>
    </row>
    <row r="4" spans="1:6" ht="75" x14ac:dyDescent="0.25">
      <c r="B4" s="2" t="s">
        <v>162</v>
      </c>
      <c r="C4" s="5" t="s">
        <v>19</v>
      </c>
    </row>
    <row r="6" spans="1:6" x14ac:dyDescent="0.25">
      <c r="B6" s="6" t="s">
        <v>163</v>
      </c>
      <c r="C6" s="243" t="s">
        <v>164</v>
      </c>
      <c r="D6" s="244" t="s">
        <v>164</v>
      </c>
      <c r="E6" s="62"/>
      <c r="F6" s="245" t="s">
        <v>164</v>
      </c>
    </row>
    <row r="7" spans="1:6" x14ac:dyDescent="0.25">
      <c r="B7" s="6" t="s">
        <v>165</v>
      </c>
      <c r="C7" s="244" t="s">
        <v>166</v>
      </c>
      <c r="D7" s="244" t="s">
        <v>167</v>
      </c>
      <c r="F7" s="246" t="s">
        <v>168</v>
      </c>
    </row>
    <row r="8" spans="1:6" s="47" customFormat="1" x14ac:dyDescent="0.25">
      <c r="B8" s="51" t="s">
        <v>169</v>
      </c>
      <c r="C8" s="247" t="s">
        <v>170</v>
      </c>
      <c r="D8" s="248"/>
      <c r="E8"/>
      <c r="F8" s="247"/>
    </row>
    <row r="9" spans="1:6" s="47" customFormat="1" x14ac:dyDescent="0.25">
      <c r="B9" s="51" t="s">
        <v>171</v>
      </c>
      <c r="C9" s="248" t="s">
        <v>172</v>
      </c>
      <c r="D9" s="248" t="s">
        <v>172</v>
      </c>
      <c r="E9"/>
      <c r="F9" s="247" t="s">
        <v>173</v>
      </c>
    </row>
    <row r="10" spans="1:6" x14ac:dyDescent="0.25">
      <c r="B10" s="6" t="s">
        <v>174</v>
      </c>
      <c r="C10" s="249" t="s">
        <v>175</v>
      </c>
      <c r="D10" s="249" t="s">
        <v>176</v>
      </c>
      <c r="F10" s="250" t="s">
        <v>177</v>
      </c>
    </row>
    <row r="11" spans="1:6" ht="30" x14ac:dyDescent="0.25">
      <c r="A11" s="6" t="s">
        <v>178</v>
      </c>
      <c r="B11" s="6" t="s">
        <v>179</v>
      </c>
      <c r="C11" s="249" t="s">
        <v>166</v>
      </c>
      <c r="D11" s="251" t="s">
        <v>180</v>
      </c>
      <c r="F11" s="251" t="s">
        <v>181</v>
      </c>
    </row>
    <row r="12" spans="1:6" x14ac:dyDescent="0.25">
      <c r="A12" s="6">
        <v>1</v>
      </c>
      <c r="B12" s="12" t="s">
        <v>182</v>
      </c>
      <c r="C12" s="10" t="s">
        <v>183</v>
      </c>
      <c r="D12" s="10" t="s">
        <v>184</v>
      </c>
      <c r="F12" s="61" t="s">
        <v>185</v>
      </c>
    </row>
    <row r="13" spans="1:6" x14ac:dyDescent="0.25">
      <c r="A13" s="6">
        <v>2</v>
      </c>
      <c r="B13" s="12" t="s">
        <v>182</v>
      </c>
      <c r="C13" s="10" t="s">
        <v>183</v>
      </c>
      <c r="D13" s="10" t="s">
        <v>186</v>
      </c>
      <c r="F13" s="14" t="s">
        <v>187</v>
      </c>
    </row>
    <row r="14" spans="1:6" x14ac:dyDescent="0.25">
      <c r="A14" s="6">
        <v>3</v>
      </c>
      <c r="B14" s="12" t="s">
        <v>182</v>
      </c>
      <c r="C14" s="10" t="s">
        <v>188</v>
      </c>
      <c r="D14" s="10" t="s">
        <v>189</v>
      </c>
      <c r="F14" s="14" t="s">
        <v>187</v>
      </c>
    </row>
    <row r="15" spans="1:6" x14ac:dyDescent="0.25">
      <c r="A15" s="6">
        <v>4</v>
      </c>
      <c r="B15" s="12" t="s">
        <v>182</v>
      </c>
      <c r="C15" s="10" t="s">
        <v>188</v>
      </c>
      <c r="D15" s="10" t="s">
        <v>190</v>
      </c>
      <c r="F15" s="61" t="s">
        <v>191</v>
      </c>
    </row>
    <row r="16" spans="1:6" x14ac:dyDescent="0.25">
      <c r="A16" s="6">
        <v>5</v>
      </c>
      <c r="B16" s="12" t="s">
        <v>182</v>
      </c>
      <c r="C16" s="10" t="s">
        <v>192</v>
      </c>
      <c r="D16" s="10" t="s">
        <v>184</v>
      </c>
      <c r="F16" s="61" t="s">
        <v>185</v>
      </c>
    </row>
    <row r="17" spans="1:7" x14ac:dyDescent="0.25">
      <c r="A17" s="6">
        <v>6</v>
      </c>
      <c r="B17" s="12" t="s">
        <v>182</v>
      </c>
      <c r="C17" s="10" t="s">
        <v>192</v>
      </c>
      <c r="D17" s="10" t="s">
        <v>189</v>
      </c>
      <c r="F17" s="61" t="s">
        <v>187</v>
      </c>
    </row>
    <row r="18" spans="1:7" x14ac:dyDescent="0.25">
      <c r="A18" s="6">
        <v>7</v>
      </c>
      <c r="B18" s="12" t="s">
        <v>182</v>
      </c>
      <c r="C18" s="10" t="s">
        <v>192</v>
      </c>
      <c r="D18" s="10" t="s">
        <v>193</v>
      </c>
      <c r="F18" s="61" t="s">
        <v>191</v>
      </c>
    </row>
    <row r="19" spans="1:7" x14ac:dyDescent="0.25">
      <c r="A19" s="6">
        <v>21</v>
      </c>
      <c r="B19" s="12" t="s">
        <v>194</v>
      </c>
      <c r="C19" s="10" t="s">
        <v>183</v>
      </c>
      <c r="D19" s="10" t="s">
        <v>184</v>
      </c>
      <c r="F19" s="61" t="s">
        <v>185</v>
      </c>
    </row>
    <row r="20" spans="1:7" x14ac:dyDescent="0.25">
      <c r="A20" s="6">
        <v>22</v>
      </c>
      <c r="B20" s="12" t="s">
        <v>194</v>
      </c>
      <c r="C20" s="10" t="s">
        <v>183</v>
      </c>
      <c r="D20" s="10" t="s">
        <v>186</v>
      </c>
      <c r="F20" s="14" t="s">
        <v>187</v>
      </c>
      <c r="G20" t="s">
        <v>195</v>
      </c>
    </row>
    <row r="21" spans="1:7" x14ac:dyDescent="0.25">
      <c r="A21" s="6">
        <v>23</v>
      </c>
      <c r="B21" s="12" t="s">
        <v>194</v>
      </c>
      <c r="C21" s="10" t="s">
        <v>188</v>
      </c>
      <c r="D21" s="10" t="s">
        <v>189</v>
      </c>
      <c r="F21" s="14" t="s">
        <v>187</v>
      </c>
    </row>
    <row r="22" spans="1:7" x14ac:dyDescent="0.25">
      <c r="A22" s="6">
        <v>24</v>
      </c>
      <c r="B22" s="12" t="s">
        <v>194</v>
      </c>
      <c r="C22" s="10" t="s">
        <v>188</v>
      </c>
      <c r="D22" s="10" t="s">
        <v>190</v>
      </c>
      <c r="F22" s="61" t="s">
        <v>191</v>
      </c>
    </row>
    <row r="23" spans="1:7" x14ac:dyDescent="0.25">
      <c r="A23" s="6">
        <v>25</v>
      </c>
      <c r="B23" s="12" t="s">
        <v>194</v>
      </c>
      <c r="C23" s="10" t="s">
        <v>192</v>
      </c>
      <c r="D23" s="10" t="s">
        <v>184</v>
      </c>
      <c r="F23" s="61" t="s">
        <v>185</v>
      </c>
    </row>
    <row r="24" spans="1:7" x14ac:dyDescent="0.25">
      <c r="A24" s="6">
        <v>26</v>
      </c>
      <c r="B24" s="12" t="s">
        <v>194</v>
      </c>
      <c r="C24" s="10" t="s">
        <v>192</v>
      </c>
      <c r="D24" s="10" t="s">
        <v>189</v>
      </c>
      <c r="F24" s="61" t="s">
        <v>187</v>
      </c>
    </row>
    <row r="25" spans="1:7" x14ac:dyDescent="0.25">
      <c r="A25" s="6">
        <v>27</v>
      </c>
      <c r="B25" s="12" t="s">
        <v>194</v>
      </c>
      <c r="C25" s="10" t="s">
        <v>192</v>
      </c>
      <c r="D25" s="10" t="s">
        <v>193</v>
      </c>
      <c r="F25" s="61" t="s">
        <v>191</v>
      </c>
    </row>
  </sheetData>
  <conditionalFormatting sqref="C8">
    <cfRule type="duplicateValues" dxfId="92" priority="3"/>
  </conditionalFormatting>
  <conditionalFormatting sqref="C7:D7">
    <cfRule type="duplicateValues" dxfId="91" priority="4"/>
  </conditionalFormatting>
  <conditionalFormatting sqref="F7">
    <cfRule type="duplicateValues" dxfId="90" priority="2"/>
  </conditionalFormatting>
  <conditionalFormatting sqref="F8:F10">
    <cfRule type="duplicateValues" dxfId="89"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F3DFF-669D-4855-8CC9-7E4BBF188ECA}">
  <sheetPr>
    <tabColor theme="9" tint="-0.499984740745262"/>
  </sheetPr>
  <dimension ref="A1:I21"/>
  <sheetViews>
    <sheetView showGridLines="0" zoomScaleNormal="100" workbookViewId="0">
      <selection activeCell="C13" sqref="C13:H16"/>
    </sheetView>
  </sheetViews>
  <sheetFormatPr defaultRowHeight="15" x14ac:dyDescent="0.25"/>
  <cols>
    <col min="1" max="1" width="6.7109375" customWidth="1"/>
    <col min="2" max="2" width="23.7109375" bestFit="1" customWidth="1"/>
    <col min="3" max="3" width="34.7109375" customWidth="1"/>
    <col min="4" max="4" width="20" customWidth="1"/>
    <col min="5" max="5" width="24.7109375" style="34" customWidth="1"/>
    <col min="6" max="6" width="19.28515625" customWidth="1"/>
    <col min="7" max="7" width="8.28515625" customWidth="1"/>
    <col min="8" max="9" width="29.7109375" customWidth="1"/>
  </cols>
  <sheetData>
    <row r="1" spans="1:9" ht="17.25" x14ac:dyDescent="0.25">
      <c r="B1" s="2" t="s">
        <v>196</v>
      </c>
      <c r="C1" s="1" t="s">
        <v>197</v>
      </c>
    </row>
    <row r="2" spans="1:9" ht="17.25" x14ac:dyDescent="0.25">
      <c r="B2" s="2" t="s">
        <v>3</v>
      </c>
      <c r="C2" s="1" t="s">
        <v>198</v>
      </c>
    </row>
    <row r="3" spans="1:9" ht="17.25" x14ac:dyDescent="0.25">
      <c r="B3" s="2" t="s">
        <v>158</v>
      </c>
      <c r="C3" s="1" t="s">
        <v>198</v>
      </c>
      <c r="D3" s="8"/>
    </row>
    <row r="4" spans="1:9" s="47" customFormat="1" ht="17.25" x14ac:dyDescent="0.25">
      <c r="B4" s="48" t="s">
        <v>159</v>
      </c>
      <c r="C4" s="49" t="s">
        <v>199</v>
      </c>
      <c r="E4" s="58"/>
    </row>
    <row r="5" spans="1:9" ht="49.5" customHeight="1" x14ac:dyDescent="0.25">
      <c r="B5" s="2" t="s">
        <v>162</v>
      </c>
      <c r="C5" s="5" t="s">
        <v>29</v>
      </c>
    </row>
    <row r="6" spans="1:9" ht="21" customHeight="1" x14ac:dyDescent="0.25"/>
    <row r="7" spans="1:9" x14ac:dyDescent="0.25">
      <c r="B7" s="6" t="s">
        <v>163</v>
      </c>
      <c r="C7" s="252" t="s">
        <v>164</v>
      </c>
      <c r="D7" s="252" t="s">
        <v>164</v>
      </c>
      <c r="E7" s="252" t="s">
        <v>164</v>
      </c>
      <c r="F7" s="253" t="s">
        <v>164</v>
      </c>
      <c r="H7" s="256" t="s">
        <v>200</v>
      </c>
      <c r="I7" s="256" t="s">
        <v>200</v>
      </c>
    </row>
    <row r="8" spans="1:9" x14ac:dyDescent="0.25">
      <c r="B8" s="6" t="s">
        <v>165</v>
      </c>
      <c r="C8" s="244" t="s">
        <v>201</v>
      </c>
      <c r="D8" s="244" t="s">
        <v>202</v>
      </c>
      <c r="E8" s="244" t="s">
        <v>203</v>
      </c>
      <c r="F8" s="244" t="s">
        <v>204</v>
      </c>
      <c r="H8" s="244" t="s">
        <v>205</v>
      </c>
      <c r="I8" s="244" t="s">
        <v>206</v>
      </c>
    </row>
    <row r="9" spans="1:9" s="47" customFormat="1" x14ac:dyDescent="0.25">
      <c r="B9" s="51" t="s">
        <v>169</v>
      </c>
      <c r="C9" s="247"/>
      <c r="D9" s="248"/>
      <c r="E9" s="254"/>
      <c r="F9" s="248"/>
      <c r="H9" s="248"/>
      <c r="I9" s="248"/>
    </row>
    <row r="10" spans="1:9" s="47" customFormat="1" x14ac:dyDescent="0.25">
      <c r="B10" s="51" t="s">
        <v>171</v>
      </c>
      <c r="C10" s="247" t="s">
        <v>172</v>
      </c>
      <c r="D10" s="248" t="s">
        <v>172</v>
      </c>
      <c r="E10" s="254"/>
      <c r="F10" s="248" t="s">
        <v>172</v>
      </c>
      <c r="H10" s="248" t="s">
        <v>207</v>
      </c>
      <c r="I10" s="248"/>
    </row>
    <row r="11" spans="1:9" x14ac:dyDescent="0.25">
      <c r="B11" s="6" t="s">
        <v>174</v>
      </c>
      <c r="C11" s="250" t="s">
        <v>175</v>
      </c>
      <c r="D11" s="249"/>
      <c r="E11" s="249" t="s">
        <v>208</v>
      </c>
      <c r="F11" s="249" t="s">
        <v>208</v>
      </c>
      <c r="H11" s="249" t="s">
        <v>175</v>
      </c>
      <c r="I11" s="249" t="s">
        <v>175</v>
      </c>
    </row>
    <row r="12" spans="1:9" ht="45" x14ac:dyDescent="0.25">
      <c r="A12" s="6" t="s">
        <v>178</v>
      </c>
      <c r="B12" s="6" t="s">
        <v>179</v>
      </c>
      <c r="C12" s="251" t="s">
        <v>209</v>
      </c>
      <c r="D12" s="251" t="s">
        <v>210</v>
      </c>
      <c r="E12" s="255" t="s">
        <v>211</v>
      </c>
      <c r="F12" s="251" t="s">
        <v>211</v>
      </c>
      <c r="H12" s="251" t="s">
        <v>212</v>
      </c>
      <c r="I12" s="251" t="s">
        <v>212</v>
      </c>
    </row>
    <row r="13" spans="1:9" ht="30" x14ac:dyDescent="0.25">
      <c r="A13" s="6">
        <v>1</v>
      </c>
      <c r="B13" s="6" t="s">
        <v>182</v>
      </c>
      <c r="C13" s="10" t="s">
        <v>213</v>
      </c>
      <c r="D13" s="10"/>
      <c r="E13" s="18"/>
      <c r="F13" s="10"/>
      <c r="H13" s="10" t="s">
        <v>213</v>
      </c>
      <c r="I13" s="10" t="s">
        <v>214</v>
      </c>
    </row>
    <row r="14" spans="1:9" x14ac:dyDescent="0.25">
      <c r="A14" s="6">
        <v>2</v>
      </c>
      <c r="B14" s="6" t="s">
        <v>194</v>
      </c>
      <c r="C14" s="10" t="s">
        <v>215</v>
      </c>
      <c r="D14" s="10"/>
      <c r="E14" s="18"/>
      <c r="F14" s="10"/>
      <c r="H14" s="10" t="s">
        <v>215</v>
      </c>
      <c r="I14" s="10" t="s">
        <v>216</v>
      </c>
    </row>
    <row r="18" spans="5:5" ht="15.75" x14ac:dyDescent="0.25">
      <c r="E18" s="35"/>
    </row>
    <row r="19" spans="5:5" ht="15.75" x14ac:dyDescent="0.25">
      <c r="E19" s="35"/>
    </row>
    <row r="20" spans="5:5" ht="15.75" x14ac:dyDescent="0.25">
      <c r="E20" s="35"/>
    </row>
    <row r="21" spans="5:5" ht="15.75" x14ac:dyDescent="0.25">
      <c r="E21" s="35"/>
    </row>
  </sheetData>
  <conditionalFormatting sqref="C9:C11">
    <cfRule type="duplicateValues" dxfId="88" priority="6"/>
  </conditionalFormatting>
  <conditionalFormatting sqref="C8:F8">
    <cfRule type="duplicateValues" dxfId="87" priority="115"/>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5F7B0-DF5C-48A0-9619-85BF29BE987C}">
  <sheetPr>
    <tabColor theme="9" tint="-0.499984740745262"/>
  </sheetPr>
  <dimension ref="A1:U66"/>
  <sheetViews>
    <sheetView showGridLines="0" zoomScaleNormal="100" workbookViewId="0">
      <selection activeCell="A8" sqref="A8"/>
    </sheetView>
  </sheetViews>
  <sheetFormatPr defaultColWidth="45" defaultRowHeight="15" x14ac:dyDescent="0.25"/>
  <cols>
    <col min="1" max="1" width="15.28515625" bestFit="1" customWidth="1"/>
    <col min="2" max="2" width="23.7109375" bestFit="1" customWidth="1"/>
    <col min="3" max="3" width="36.28515625" customWidth="1"/>
    <col min="4" max="4" width="19.7109375" bestFit="1" customWidth="1"/>
    <col min="5" max="5" width="22.28515625" customWidth="1"/>
    <col min="6" max="6" width="21.7109375" bestFit="1" customWidth="1"/>
    <col min="7" max="7" width="17.28515625" bestFit="1" customWidth="1"/>
    <col min="8" max="8" width="11.7109375" bestFit="1" customWidth="1"/>
    <col min="9" max="9" width="19.28515625" bestFit="1" customWidth="1"/>
    <col min="10" max="10" width="14.42578125" bestFit="1" customWidth="1"/>
    <col min="11" max="11" width="15" bestFit="1" customWidth="1"/>
    <col min="12" max="12" width="20.5703125" bestFit="1" customWidth="1"/>
    <col min="13" max="13" width="26.28515625" customWidth="1"/>
    <col min="14" max="14" width="25.7109375" customWidth="1"/>
    <col min="15" max="18" width="23.28515625" customWidth="1"/>
    <col min="19" max="19" width="9.28515625" customWidth="1"/>
    <col min="20" max="20" width="37.7109375" style="44" customWidth="1"/>
  </cols>
  <sheetData>
    <row r="1" spans="1:20" ht="17.25" x14ac:dyDescent="0.25">
      <c r="B1" s="2" t="s">
        <v>3</v>
      </c>
      <c r="C1" s="1" t="s">
        <v>24</v>
      </c>
    </row>
    <row r="2" spans="1:20" ht="17.25" x14ac:dyDescent="0.25">
      <c r="B2" s="2" t="s">
        <v>158</v>
      </c>
      <c r="C2" s="1" t="s">
        <v>24</v>
      </c>
    </row>
    <row r="3" spans="1:20" s="47" customFormat="1" ht="17.25" x14ac:dyDescent="0.25">
      <c r="B3" s="48" t="s">
        <v>159</v>
      </c>
      <c r="C3" s="49" t="s">
        <v>217</v>
      </c>
      <c r="T3" s="59"/>
    </row>
    <row r="4" spans="1:20" ht="60" x14ac:dyDescent="0.25">
      <c r="B4" s="2" t="s">
        <v>162</v>
      </c>
      <c r="C4" s="5" t="s">
        <v>25</v>
      </c>
    </row>
    <row r="6" spans="1:20" s="62" customFormat="1" x14ac:dyDescent="0.25">
      <c r="A6" s="271">
        <v>45584.324791666666</v>
      </c>
      <c r="B6" s="65" t="s">
        <v>163</v>
      </c>
      <c r="C6" s="272" t="s">
        <v>164</v>
      </c>
      <c r="D6" s="272" t="s">
        <v>164</v>
      </c>
      <c r="E6" s="272" t="s">
        <v>164</v>
      </c>
      <c r="F6" s="272" t="s">
        <v>164</v>
      </c>
      <c r="G6" s="272" t="s">
        <v>164</v>
      </c>
      <c r="H6" s="272" t="s">
        <v>164</v>
      </c>
      <c r="I6" s="272" t="s">
        <v>164</v>
      </c>
      <c r="J6" s="272" t="s">
        <v>164</v>
      </c>
      <c r="K6" s="272" t="s">
        <v>164</v>
      </c>
      <c r="L6" s="272" t="s">
        <v>164</v>
      </c>
      <c r="M6" s="272" t="s">
        <v>164</v>
      </c>
      <c r="N6" s="272" t="s">
        <v>164</v>
      </c>
      <c r="O6" s="272" t="s">
        <v>164</v>
      </c>
      <c r="P6" s="273" t="s">
        <v>218</v>
      </c>
      <c r="Q6" s="274" t="s">
        <v>219</v>
      </c>
      <c r="R6" s="275" t="s">
        <v>219</v>
      </c>
      <c r="T6" s="22" t="s">
        <v>220</v>
      </c>
    </row>
    <row r="7" spans="1:20" x14ac:dyDescent="0.25">
      <c r="B7" s="6" t="s">
        <v>165</v>
      </c>
      <c r="C7" s="244" t="s">
        <v>167</v>
      </c>
      <c r="D7" s="244" t="s">
        <v>221</v>
      </c>
      <c r="E7" s="244" t="s">
        <v>222</v>
      </c>
      <c r="F7" s="244" t="s">
        <v>223</v>
      </c>
      <c r="G7" s="244" t="s">
        <v>224</v>
      </c>
      <c r="H7" s="244" t="s">
        <v>225</v>
      </c>
      <c r="I7" s="244" t="s">
        <v>226</v>
      </c>
      <c r="J7" s="244" t="s">
        <v>227</v>
      </c>
      <c r="K7" s="244" t="s">
        <v>228</v>
      </c>
      <c r="L7" s="244" t="s">
        <v>229</v>
      </c>
      <c r="M7" s="244" t="s">
        <v>230</v>
      </c>
      <c r="N7" s="244" t="s">
        <v>231</v>
      </c>
      <c r="O7" s="244" t="s">
        <v>232</v>
      </c>
      <c r="P7" s="262" t="s">
        <v>233</v>
      </c>
      <c r="Q7" s="263" t="s">
        <v>234</v>
      </c>
      <c r="R7" s="263" t="s">
        <v>235</v>
      </c>
      <c r="T7" s="22" t="s">
        <v>121</v>
      </c>
    </row>
    <row r="8" spans="1:20" s="47" customFormat="1" x14ac:dyDescent="0.25">
      <c r="B8" s="51" t="s">
        <v>169</v>
      </c>
      <c r="C8" s="247"/>
      <c r="D8" s="248"/>
      <c r="E8" s="248"/>
      <c r="F8" s="248"/>
      <c r="G8" s="248"/>
      <c r="H8" s="248"/>
      <c r="I8" s="264"/>
      <c r="J8" s="264"/>
      <c r="K8" s="264"/>
      <c r="L8" s="264"/>
      <c r="M8" s="264"/>
      <c r="N8" s="264"/>
      <c r="O8" s="264"/>
      <c r="P8" s="265"/>
      <c r="Q8" s="248"/>
      <c r="R8" s="248"/>
      <c r="T8" s="317"/>
    </row>
    <row r="9" spans="1:20" s="47" customFormat="1" x14ac:dyDescent="0.25">
      <c r="B9" s="51" t="s">
        <v>171</v>
      </c>
      <c r="C9" s="248" t="s">
        <v>172</v>
      </c>
      <c r="D9" s="248" t="s">
        <v>172</v>
      </c>
      <c r="E9" s="248" t="s">
        <v>172</v>
      </c>
      <c r="F9" s="248" t="s">
        <v>172</v>
      </c>
      <c r="G9" s="248" t="s">
        <v>236</v>
      </c>
      <c r="H9" s="248" t="s">
        <v>236</v>
      </c>
      <c r="I9" s="254" t="s">
        <v>172</v>
      </c>
      <c r="J9" s="254" t="s">
        <v>172</v>
      </c>
      <c r="K9" s="254"/>
      <c r="L9" s="254" t="s">
        <v>172</v>
      </c>
      <c r="M9" s="254" t="s">
        <v>172</v>
      </c>
      <c r="N9" s="254" t="s">
        <v>172</v>
      </c>
      <c r="O9" s="254" t="s">
        <v>172</v>
      </c>
      <c r="P9" s="265" t="s">
        <v>172</v>
      </c>
      <c r="Q9" s="248" t="s">
        <v>172</v>
      </c>
      <c r="R9" s="248" t="s">
        <v>172</v>
      </c>
      <c r="T9" s="317" t="s">
        <v>236</v>
      </c>
    </row>
    <row r="10" spans="1:20" x14ac:dyDescent="0.25">
      <c r="B10" s="6" t="s">
        <v>237</v>
      </c>
      <c r="C10" s="249" t="s">
        <v>176</v>
      </c>
      <c r="D10" s="249" t="s">
        <v>238</v>
      </c>
      <c r="E10" s="249" t="s">
        <v>238</v>
      </c>
      <c r="F10" s="249" t="s">
        <v>238</v>
      </c>
      <c r="G10" s="249"/>
      <c r="H10" s="249"/>
      <c r="I10" s="266"/>
      <c r="J10" s="266"/>
      <c r="K10" s="266"/>
      <c r="L10" s="267" t="s">
        <v>175</v>
      </c>
      <c r="M10" s="267" t="s">
        <v>239</v>
      </c>
      <c r="N10" s="267" t="s">
        <v>240</v>
      </c>
      <c r="O10" s="267" t="s">
        <v>240</v>
      </c>
      <c r="P10" s="265" t="s">
        <v>175</v>
      </c>
      <c r="Q10" s="249" t="s">
        <v>241</v>
      </c>
      <c r="R10" s="249" t="s">
        <v>241</v>
      </c>
      <c r="T10" s="318" t="s">
        <v>242</v>
      </c>
    </row>
    <row r="11" spans="1:20" ht="75" x14ac:dyDescent="0.25">
      <c r="A11" s="6" t="s">
        <v>178</v>
      </c>
      <c r="B11" s="6" t="s">
        <v>179</v>
      </c>
      <c r="C11" s="251" t="s">
        <v>167</v>
      </c>
      <c r="D11" s="251" t="s">
        <v>243</v>
      </c>
      <c r="E11" s="251" t="s">
        <v>244</v>
      </c>
      <c r="F11" s="251" t="s">
        <v>245</v>
      </c>
      <c r="G11" s="255" t="s">
        <v>240</v>
      </c>
      <c r="H11" s="255" t="s">
        <v>240</v>
      </c>
      <c r="I11" s="255" t="s">
        <v>240</v>
      </c>
      <c r="J11" s="268"/>
      <c r="K11" s="255" t="s">
        <v>240</v>
      </c>
      <c r="L11" s="255" t="s">
        <v>209</v>
      </c>
      <c r="M11" s="255" t="s">
        <v>246</v>
      </c>
      <c r="N11" s="255" t="s">
        <v>240</v>
      </c>
      <c r="O11" s="255" t="s">
        <v>240</v>
      </c>
      <c r="P11" s="269" t="s">
        <v>247</v>
      </c>
      <c r="Q11" s="270" t="s">
        <v>248</v>
      </c>
      <c r="R11" s="251" t="s">
        <v>249</v>
      </c>
      <c r="T11" s="292" t="s">
        <v>121</v>
      </c>
    </row>
    <row r="12" spans="1:20" ht="30" x14ac:dyDescent="0.25">
      <c r="A12" s="6">
        <v>1</v>
      </c>
      <c r="B12" s="6" t="s">
        <v>182</v>
      </c>
      <c r="C12" s="10" t="s">
        <v>250</v>
      </c>
      <c r="D12" s="10"/>
      <c r="E12" s="10"/>
      <c r="F12" s="10"/>
      <c r="G12" s="10"/>
      <c r="H12" s="10"/>
      <c r="I12" s="17"/>
      <c r="J12" s="17"/>
      <c r="K12" s="17"/>
      <c r="L12" s="17"/>
      <c r="M12" s="17"/>
      <c r="N12" s="17"/>
      <c r="O12" s="17"/>
      <c r="P12" s="143" t="s">
        <v>251</v>
      </c>
      <c r="Q12" s="10" t="s">
        <v>252</v>
      </c>
      <c r="R12" s="10"/>
      <c r="T12" s="14">
        <v>3</v>
      </c>
    </row>
    <row r="13" spans="1:20" ht="30" x14ac:dyDescent="0.25">
      <c r="A13" s="6">
        <v>2</v>
      </c>
      <c r="B13" s="6" t="s">
        <v>182</v>
      </c>
      <c r="C13" s="10" t="s">
        <v>253</v>
      </c>
      <c r="D13" s="10"/>
      <c r="E13" s="10"/>
      <c r="F13" s="10"/>
      <c r="G13" s="10"/>
      <c r="H13" s="10"/>
      <c r="I13" s="17"/>
      <c r="J13" s="17"/>
      <c r="K13" s="17"/>
      <c r="L13" s="17"/>
      <c r="M13" s="17"/>
      <c r="N13" s="17"/>
      <c r="O13" s="17"/>
      <c r="P13" s="143" t="s">
        <v>254</v>
      </c>
      <c r="Q13" s="10"/>
      <c r="R13" s="10" t="s">
        <v>255</v>
      </c>
      <c r="T13" s="14">
        <v>3</v>
      </c>
    </row>
    <row r="14" spans="1:20" ht="30" x14ac:dyDescent="0.25">
      <c r="A14" s="6">
        <v>3</v>
      </c>
      <c r="B14" s="6" t="s">
        <v>182</v>
      </c>
      <c r="C14" s="10" t="s">
        <v>256</v>
      </c>
      <c r="D14" s="10"/>
      <c r="E14" s="10"/>
      <c r="F14" s="10"/>
      <c r="G14" s="10"/>
      <c r="H14" s="10"/>
      <c r="I14" s="17"/>
      <c r="J14" s="17"/>
      <c r="K14" s="17"/>
      <c r="L14" s="17"/>
      <c r="M14" s="17"/>
      <c r="N14" s="17"/>
      <c r="O14" s="17"/>
      <c r="P14" s="17"/>
      <c r="Q14" s="17"/>
      <c r="R14" s="17"/>
      <c r="T14" s="14">
        <v>0</v>
      </c>
    </row>
    <row r="15" spans="1:20" ht="30" x14ac:dyDescent="0.25">
      <c r="A15" s="6">
        <v>4</v>
      </c>
      <c r="B15" s="6" t="s">
        <v>182</v>
      </c>
      <c r="C15" s="10" t="s">
        <v>257</v>
      </c>
      <c r="D15" s="10"/>
      <c r="E15" s="10" t="s">
        <v>258</v>
      </c>
      <c r="F15" s="10"/>
      <c r="G15" s="10"/>
      <c r="H15" s="10"/>
      <c r="I15" s="17"/>
      <c r="J15" s="17"/>
      <c r="K15" s="17"/>
      <c r="L15" s="17"/>
      <c r="M15" s="17"/>
      <c r="N15" s="17"/>
      <c r="O15" s="17"/>
      <c r="P15" s="17"/>
      <c r="Q15" s="17"/>
      <c r="R15" s="17"/>
      <c r="T15" s="14">
        <v>0</v>
      </c>
    </row>
    <row r="16" spans="1:20" ht="30" x14ac:dyDescent="0.25">
      <c r="A16" s="6">
        <v>5</v>
      </c>
      <c r="B16" s="6" t="s">
        <v>182</v>
      </c>
      <c r="C16" s="10" t="s">
        <v>259</v>
      </c>
      <c r="D16" s="10"/>
      <c r="E16" s="10"/>
      <c r="F16" s="10"/>
      <c r="G16" s="10"/>
      <c r="H16" s="10"/>
      <c r="I16" s="17"/>
      <c r="J16" s="17"/>
      <c r="K16" s="17"/>
      <c r="L16" s="17"/>
      <c r="M16" s="17"/>
      <c r="N16" s="17"/>
      <c r="O16" s="17"/>
      <c r="P16" s="17"/>
      <c r="Q16" s="17"/>
      <c r="R16" s="17"/>
      <c r="T16" s="14">
        <v>0</v>
      </c>
    </row>
    <row r="17" spans="1:20" ht="30" x14ac:dyDescent="0.25">
      <c r="A17" s="6">
        <v>6</v>
      </c>
      <c r="B17" s="6" t="s">
        <v>182</v>
      </c>
      <c r="C17" s="10" t="s">
        <v>260</v>
      </c>
      <c r="D17" s="10"/>
      <c r="E17" s="10"/>
      <c r="F17" s="10"/>
      <c r="G17" s="10"/>
      <c r="H17" s="10"/>
      <c r="I17" s="17"/>
      <c r="J17" s="17"/>
      <c r="K17" s="17"/>
      <c r="L17" s="17"/>
      <c r="M17" s="17"/>
      <c r="N17" s="17"/>
      <c r="O17" s="17"/>
      <c r="P17" s="17"/>
      <c r="Q17" s="17"/>
      <c r="R17" s="17"/>
      <c r="T17" s="14">
        <v>8</v>
      </c>
    </row>
    <row r="18" spans="1:20" ht="30" x14ac:dyDescent="0.25">
      <c r="A18" s="6">
        <v>7</v>
      </c>
      <c r="B18" s="6" t="s">
        <v>182</v>
      </c>
      <c r="C18" s="10" t="s">
        <v>261</v>
      </c>
      <c r="D18" s="10"/>
      <c r="E18" s="10"/>
      <c r="F18" s="10"/>
      <c r="G18" s="10"/>
      <c r="H18" s="10"/>
      <c r="I18" s="17"/>
      <c r="J18" s="17"/>
      <c r="K18" s="17"/>
      <c r="L18" s="17"/>
      <c r="M18" s="17"/>
      <c r="N18" s="17"/>
      <c r="O18" s="17"/>
      <c r="P18" s="17"/>
      <c r="Q18" s="17"/>
      <c r="R18" s="17"/>
      <c r="T18" s="14">
        <v>3</v>
      </c>
    </row>
    <row r="19" spans="1:20" ht="30" x14ac:dyDescent="0.25">
      <c r="A19" s="6">
        <v>8</v>
      </c>
      <c r="B19" s="6" t="s">
        <v>182</v>
      </c>
      <c r="C19" s="10" t="s">
        <v>262</v>
      </c>
      <c r="D19" s="10"/>
      <c r="E19" s="10"/>
      <c r="F19" s="10"/>
      <c r="G19" s="10"/>
      <c r="H19" s="10"/>
      <c r="I19" s="17"/>
      <c r="J19" s="17"/>
      <c r="K19" s="17"/>
      <c r="L19" s="17"/>
      <c r="M19" s="17"/>
      <c r="N19" s="17"/>
      <c r="O19" s="17"/>
      <c r="P19" s="17"/>
      <c r="Q19" s="17"/>
      <c r="R19" s="17"/>
      <c r="T19" s="14">
        <v>13</v>
      </c>
    </row>
    <row r="20" spans="1:20" ht="30" x14ac:dyDescent="0.25">
      <c r="A20" s="6">
        <v>9</v>
      </c>
      <c r="B20" s="6" t="s">
        <v>182</v>
      </c>
      <c r="C20" s="10" t="s">
        <v>263</v>
      </c>
      <c r="D20" s="10"/>
      <c r="E20" s="10"/>
      <c r="F20" s="10"/>
      <c r="G20" s="10"/>
      <c r="H20" s="10"/>
      <c r="I20" s="17"/>
      <c r="J20" s="17"/>
      <c r="K20" s="17"/>
      <c r="L20" s="17"/>
      <c r="M20" s="17"/>
      <c r="N20" s="17"/>
      <c r="O20" s="17"/>
      <c r="P20" s="17"/>
      <c r="Q20" s="17"/>
      <c r="R20" s="17"/>
      <c r="T20" s="14">
        <v>0</v>
      </c>
    </row>
    <row r="21" spans="1:20" ht="30" x14ac:dyDescent="0.25">
      <c r="A21" s="6">
        <v>10</v>
      </c>
      <c r="B21" s="6" t="s">
        <v>182</v>
      </c>
      <c r="C21" s="10" t="s">
        <v>264</v>
      </c>
      <c r="D21" s="10"/>
      <c r="E21" s="10"/>
      <c r="F21" s="10"/>
      <c r="G21" s="10"/>
      <c r="H21" s="10"/>
      <c r="I21" s="17"/>
      <c r="J21" s="17"/>
      <c r="K21" s="17"/>
      <c r="L21" s="17"/>
      <c r="M21" s="17"/>
      <c r="N21" s="17"/>
      <c r="O21" s="17"/>
      <c r="P21" s="17"/>
      <c r="Q21" s="17"/>
      <c r="R21" s="17"/>
      <c r="T21" s="14">
        <v>0</v>
      </c>
    </row>
    <row r="22" spans="1:20" ht="30" x14ac:dyDescent="0.25">
      <c r="A22" s="6">
        <v>11</v>
      </c>
      <c r="B22" s="6" t="s">
        <v>182</v>
      </c>
      <c r="C22" s="10" t="s">
        <v>265</v>
      </c>
      <c r="D22" s="10"/>
      <c r="E22" s="10"/>
      <c r="F22" s="10"/>
      <c r="G22" s="10"/>
      <c r="H22" s="10"/>
      <c r="I22" s="17"/>
      <c r="J22" s="17"/>
      <c r="K22" s="17"/>
      <c r="L22" s="17"/>
      <c r="M22" s="17"/>
      <c r="N22" s="17"/>
      <c r="O22" s="17"/>
      <c r="P22" s="17"/>
      <c r="Q22" s="17"/>
      <c r="R22" s="17"/>
      <c r="T22" s="14">
        <v>13</v>
      </c>
    </row>
    <row r="23" spans="1:20" ht="30" x14ac:dyDescent="0.25">
      <c r="A23" s="6">
        <v>12</v>
      </c>
      <c r="B23" s="6" t="s">
        <v>182</v>
      </c>
      <c r="C23" s="10" t="s">
        <v>266</v>
      </c>
      <c r="D23" s="10"/>
      <c r="E23" s="10"/>
      <c r="F23" s="10"/>
      <c r="G23" s="10"/>
      <c r="H23" s="10"/>
      <c r="I23" s="17"/>
      <c r="J23" s="17"/>
      <c r="K23" s="17"/>
      <c r="L23" s="17"/>
      <c r="M23" s="17"/>
      <c r="N23" s="17"/>
      <c r="O23" s="17"/>
      <c r="P23" s="17"/>
      <c r="Q23" s="17"/>
      <c r="R23" s="17"/>
      <c r="T23" s="14">
        <v>0</v>
      </c>
    </row>
    <row r="24" spans="1:20" ht="30" x14ac:dyDescent="0.25">
      <c r="A24" s="6">
        <v>13</v>
      </c>
      <c r="B24" s="6" t="s">
        <v>182</v>
      </c>
      <c r="C24" s="10" t="s">
        <v>267</v>
      </c>
      <c r="D24" s="10"/>
      <c r="E24" s="10"/>
      <c r="F24" s="10"/>
      <c r="G24" s="10"/>
      <c r="H24" s="10"/>
      <c r="I24" s="17"/>
      <c r="J24" s="17"/>
      <c r="K24" s="17"/>
      <c r="L24" s="17"/>
      <c r="M24" s="17"/>
      <c r="N24" s="17"/>
      <c r="O24" s="17"/>
      <c r="P24" s="17"/>
      <c r="Q24" s="17"/>
      <c r="R24" s="17"/>
      <c r="T24" s="14">
        <v>0</v>
      </c>
    </row>
    <row r="25" spans="1:20" ht="30" x14ac:dyDescent="0.25">
      <c r="A25" s="6">
        <v>14</v>
      </c>
      <c r="B25" s="6" t="s">
        <v>182</v>
      </c>
      <c r="C25" s="10"/>
      <c r="D25" s="10"/>
      <c r="E25" s="10"/>
      <c r="F25" s="10"/>
      <c r="G25" s="10">
        <v>1</v>
      </c>
      <c r="H25" s="10"/>
      <c r="I25" s="17"/>
      <c r="J25" s="17"/>
      <c r="K25" s="17"/>
      <c r="L25" s="17"/>
      <c r="M25" s="17"/>
      <c r="N25" s="17"/>
      <c r="O25" s="17"/>
      <c r="P25" s="17"/>
      <c r="Q25" s="17"/>
      <c r="R25" s="17"/>
      <c r="T25" s="14">
        <v>1</v>
      </c>
    </row>
    <row r="26" spans="1:20" ht="30" x14ac:dyDescent="0.25">
      <c r="A26" s="6">
        <v>15</v>
      </c>
      <c r="B26" s="6" t="s">
        <v>182</v>
      </c>
      <c r="C26" s="10"/>
      <c r="D26" s="10"/>
      <c r="E26" s="10"/>
      <c r="F26" s="10"/>
      <c r="G26" s="10" t="s">
        <v>268</v>
      </c>
      <c r="H26" s="10"/>
      <c r="I26" s="17"/>
      <c r="J26" s="17"/>
      <c r="K26" s="17"/>
      <c r="L26" s="17"/>
      <c r="M26" s="17"/>
      <c r="N26" s="17"/>
      <c r="O26" s="17"/>
      <c r="P26" s="17"/>
      <c r="Q26" s="17"/>
      <c r="R26" s="17"/>
      <c r="T26" s="14">
        <v>3</v>
      </c>
    </row>
    <row r="27" spans="1:20" ht="30" x14ac:dyDescent="0.25">
      <c r="A27" s="6">
        <v>16</v>
      </c>
      <c r="B27" s="6" t="s">
        <v>182</v>
      </c>
      <c r="C27" s="10"/>
      <c r="D27" s="10"/>
      <c r="E27" s="10"/>
      <c r="F27" s="10"/>
      <c r="G27" s="10" t="s">
        <v>269</v>
      </c>
      <c r="H27" s="10"/>
      <c r="I27" s="17"/>
      <c r="J27" s="17"/>
      <c r="K27" s="17"/>
      <c r="L27" s="17"/>
      <c r="M27" s="17"/>
      <c r="N27" s="17"/>
      <c r="O27" s="17"/>
      <c r="P27" s="17"/>
      <c r="Q27" s="17"/>
      <c r="R27" s="17"/>
      <c r="T27" s="14">
        <v>8</v>
      </c>
    </row>
    <row r="28" spans="1:20" ht="30" x14ac:dyDescent="0.25">
      <c r="A28" s="6">
        <v>17</v>
      </c>
      <c r="B28" s="6" t="s">
        <v>182</v>
      </c>
      <c r="C28" s="10"/>
      <c r="D28" s="10" t="s">
        <v>270</v>
      </c>
      <c r="E28" s="10"/>
      <c r="F28" s="10"/>
      <c r="G28" s="10"/>
      <c r="H28" s="10"/>
      <c r="I28" s="17"/>
      <c r="J28" s="17"/>
      <c r="K28" s="17"/>
      <c r="L28" s="17"/>
      <c r="M28" s="17"/>
      <c r="N28" s="17"/>
      <c r="O28" s="17"/>
      <c r="P28" s="17"/>
      <c r="Q28" s="17"/>
      <c r="R28" s="17"/>
      <c r="T28" s="14">
        <v>3</v>
      </c>
    </row>
    <row r="29" spans="1:20" ht="30" x14ac:dyDescent="0.25">
      <c r="A29" s="6">
        <v>18</v>
      </c>
      <c r="B29" s="6" t="s">
        <v>182</v>
      </c>
      <c r="C29" s="10"/>
      <c r="D29" s="10" t="s">
        <v>271</v>
      </c>
      <c r="E29" s="10"/>
      <c r="F29" s="10"/>
      <c r="G29" s="10"/>
      <c r="H29" s="10"/>
      <c r="I29" s="17"/>
      <c r="J29" s="17"/>
      <c r="K29" s="17"/>
      <c r="L29" s="17"/>
      <c r="M29" s="17"/>
      <c r="N29" s="17"/>
      <c r="O29" s="17"/>
      <c r="P29" s="17"/>
      <c r="Q29" s="17"/>
      <c r="R29" s="17"/>
      <c r="T29" s="14">
        <v>3</v>
      </c>
    </row>
    <row r="30" spans="1:20" ht="30" x14ac:dyDescent="0.25">
      <c r="A30" s="6">
        <v>19</v>
      </c>
      <c r="B30" s="6" t="s">
        <v>182</v>
      </c>
      <c r="C30" s="10"/>
      <c r="D30" s="10" t="s">
        <v>272</v>
      </c>
      <c r="E30" s="10"/>
      <c r="F30" s="10"/>
      <c r="G30" s="10"/>
      <c r="H30" s="10"/>
      <c r="I30" s="17"/>
      <c r="J30" s="17"/>
      <c r="K30" s="17"/>
      <c r="L30" s="17"/>
      <c r="M30" s="17"/>
      <c r="N30" s="17"/>
      <c r="O30" s="17"/>
      <c r="P30" s="17"/>
      <c r="Q30" s="17"/>
      <c r="R30" s="17"/>
      <c r="T30" s="14">
        <v>1</v>
      </c>
    </row>
    <row r="31" spans="1:20" ht="30" x14ac:dyDescent="0.25">
      <c r="A31" s="6">
        <v>20</v>
      </c>
      <c r="B31" s="6" t="s">
        <v>182</v>
      </c>
      <c r="C31" s="10"/>
      <c r="D31" s="10"/>
      <c r="E31" s="10"/>
      <c r="F31" s="10" t="s">
        <v>273</v>
      </c>
      <c r="G31" s="10"/>
      <c r="H31" s="10"/>
      <c r="I31" s="17"/>
      <c r="J31" s="17"/>
      <c r="K31" s="17"/>
      <c r="L31" s="17"/>
      <c r="M31" s="17"/>
      <c r="N31" s="17"/>
      <c r="O31" s="17"/>
      <c r="P31" s="17"/>
      <c r="Q31" s="17"/>
      <c r="R31" s="17"/>
      <c r="T31" s="14">
        <v>1</v>
      </c>
    </row>
    <row r="32" spans="1:20" ht="30" x14ac:dyDescent="0.25">
      <c r="A32" s="6">
        <v>21</v>
      </c>
      <c r="B32" s="6" t="s">
        <v>182</v>
      </c>
      <c r="C32" s="10"/>
      <c r="D32" s="10"/>
      <c r="E32" s="10"/>
      <c r="F32" s="10" t="s">
        <v>274</v>
      </c>
      <c r="G32" s="10"/>
      <c r="H32" s="10"/>
      <c r="I32" s="17"/>
      <c r="J32" s="17"/>
      <c r="K32" s="17"/>
      <c r="L32" s="17"/>
      <c r="M32" s="17"/>
      <c r="N32" s="17"/>
      <c r="O32" s="17"/>
      <c r="P32" s="17"/>
      <c r="Q32" s="17"/>
      <c r="R32" s="17"/>
      <c r="T32" s="14">
        <v>3</v>
      </c>
    </row>
    <row r="33" spans="1:21" x14ac:dyDescent="0.25">
      <c r="A33" s="6"/>
      <c r="B33" s="6"/>
      <c r="C33" s="10"/>
      <c r="D33" s="10"/>
      <c r="E33" s="10"/>
      <c r="F33" s="18" t="s">
        <v>275</v>
      </c>
      <c r="G33" s="10"/>
      <c r="H33" s="10"/>
      <c r="I33" s="17"/>
      <c r="J33" s="17"/>
      <c r="K33" s="17"/>
      <c r="L33" s="17"/>
      <c r="M33" s="17"/>
      <c r="N33" s="17"/>
      <c r="O33" s="17"/>
      <c r="P33" s="17"/>
      <c r="Q33" s="17"/>
      <c r="R33" s="17"/>
      <c r="T33" s="14">
        <v>5</v>
      </c>
    </row>
    <row r="34" spans="1:21" ht="30" x14ac:dyDescent="0.25">
      <c r="A34" s="6">
        <v>22</v>
      </c>
      <c r="B34" s="6" t="s">
        <v>182</v>
      </c>
      <c r="C34" s="10"/>
      <c r="D34" s="10"/>
      <c r="E34" s="10"/>
      <c r="F34" s="10" t="s">
        <v>276</v>
      </c>
      <c r="G34" s="10"/>
      <c r="H34" s="10"/>
      <c r="I34" s="17"/>
      <c r="J34" s="17"/>
      <c r="K34" s="17"/>
      <c r="L34" s="17"/>
      <c r="M34" s="17"/>
      <c r="N34" s="17"/>
      <c r="O34" s="17"/>
      <c r="P34" s="17"/>
      <c r="Q34" s="17"/>
      <c r="R34" s="17"/>
      <c r="T34" s="14">
        <v>8</v>
      </c>
    </row>
    <row r="35" spans="1:21" ht="30" x14ac:dyDescent="0.25">
      <c r="A35" s="6">
        <v>23</v>
      </c>
      <c r="B35" s="6" t="s">
        <v>182</v>
      </c>
      <c r="C35" s="10"/>
      <c r="D35" s="10"/>
      <c r="E35" s="10"/>
      <c r="F35" s="10" t="s">
        <v>277</v>
      </c>
      <c r="G35" s="10"/>
      <c r="H35" s="10"/>
      <c r="I35" s="17"/>
      <c r="J35" s="17"/>
      <c r="K35" s="17"/>
      <c r="L35" s="17"/>
      <c r="M35" s="17"/>
      <c r="N35" s="17"/>
      <c r="O35" s="17"/>
      <c r="P35" s="17"/>
      <c r="Q35" s="17"/>
      <c r="R35" s="17"/>
      <c r="T35" s="14">
        <v>13</v>
      </c>
    </row>
    <row r="36" spans="1:21" ht="30" x14ac:dyDescent="0.25">
      <c r="A36" s="6">
        <v>24</v>
      </c>
      <c r="B36" s="6" t="s">
        <v>182</v>
      </c>
      <c r="C36" s="10"/>
      <c r="D36" s="10"/>
      <c r="E36" s="10"/>
      <c r="F36" s="10"/>
      <c r="G36" s="10"/>
      <c r="H36" s="10">
        <v>1</v>
      </c>
      <c r="I36" s="17"/>
      <c r="J36" s="17"/>
      <c r="K36" s="17"/>
      <c r="L36" s="17"/>
      <c r="M36" s="17"/>
      <c r="N36" s="17"/>
      <c r="O36" s="17"/>
      <c r="P36" s="17"/>
      <c r="Q36" s="17"/>
      <c r="R36" s="17"/>
      <c r="T36" s="14">
        <v>1</v>
      </c>
    </row>
    <row r="37" spans="1:21" ht="30" x14ac:dyDescent="0.25">
      <c r="A37" s="6">
        <v>25</v>
      </c>
      <c r="B37" s="6" t="s">
        <v>182</v>
      </c>
      <c r="C37" s="10"/>
      <c r="D37" s="10"/>
      <c r="E37" s="10"/>
      <c r="F37" s="10"/>
      <c r="G37" s="10"/>
      <c r="H37" s="10" t="s">
        <v>278</v>
      </c>
      <c r="I37" s="17"/>
      <c r="J37" s="17"/>
      <c r="K37" s="17"/>
      <c r="L37" s="17"/>
      <c r="M37" s="17"/>
      <c r="N37" s="17"/>
      <c r="O37" s="17"/>
      <c r="P37" s="17"/>
      <c r="Q37" s="17"/>
      <c r="R37" s="17"/>
      <c r="T37" s="14">
        <v>3</v>
      </c>
    </row>
    <row r="38" spans="1:21" ht="30" x14ac:dyDescent="0.25">
      <c r="A38" s="6">
        <v>26</v>
      </c>
      <c r="B38" s="6" t="s">
        <v>182</v>
      </c>
      <c r="C38" s="10"/>
      <c r="D38" s="10"/>
      <c r="E38" s="10"/>
      <c r="F38" s="10"/>
      <c r="G38" s="10"/>
      <c r="H38" s="10" t="s">
        <v>269</v>
      </c>
      <c r="I38" s="17"/>
      <c r="J38" s="17"/>
      <c r="K38" s="17"/>
      <c r="L38" s="17"/>
      <c r="M38" s="17"/>
      <c r="N38" s="17"/>
      <c r="O38" s="17"/>
      <c r="P38" s="17"/>
      <c r="Q38" s="17"/>
      <c r="R38" s="17"/>
      <c r="T38" s="14">
        <v>8</v>
      </c>
    </row>
    <row r="39" spans="1:21" ht="30" x14ac:dyDescent="0.25">
      <c r="A39" s="6">
        <v>27</v>
      </c>
      <c r="B39" s="6" t="s">
        <v>182</v>
      </c>
      <c r="C39" s="10"/>
      <c r="D39" s="10"/>
      <c r="E39" s="10"/>
      <c r="F39" s="10"/>
      <c r="G39" s="10"/>
      <c r="H39" s="10"/>
      <c r="I39" s="18" t="s">
        <v>279</v>
      </c>
      <c r="J39" s="17"/>
      <c r="K39" s="17"/>
      <c r="L39" s="17"/>
      <c r="M39" s="17"/>
      <c r="N39" s="17"/>
      <c r="O39" s="17"/>
      <c r="P39" s="17"/>
      <c r="Q39" s="17"/>
      <c r="R39" s="17"/>
      <c r="T39" s="14">
        <v>5</v>
      </c>
    </row>
    <row r="40" spans="1:21" ht="30" x14ac:dyDescent="0.25">
      <c r="A40" s="6">
        <v>28</v>
      </c>
      <c r="B40" s="6" t="s">
        <v>182</v>
      </c>
      <c r="C40" s="10"/>
      <c r="D40" s="10"/>
      <c r="E40" s="10"/>
      <c r="F40" s="10"/>
      <c r="G40" s="10"/>
      <c r="H40" s="10"/>
      <c r="I40" s="18"/>
      <c r="J40" s="17"/>
      <c r="K40" s="17" t="s">
        <v>280</v>
      </c>
      <c r="L40" s="17"/>
      <c r="M40" s="17"/>
      <c r="N40" s="17"/>
      <c r="O40" s="17"/>
      <c r="P40" s="17"/>
      <c r="Q40" s="17"/>
      <c r="R40" s="17"/>
      <c r="T40" s="14">
        <v>21</v>
      </c>
    </row>
    <row r="41" spans="1:21" ht="30" x14ac:dyDescent="0.25">
      <c r="A41" s="6">
        <v>29</v>
      </c>
      <c r="B41" s="6" t="s">
        <v>182</v>
      </c>
      <c r="C41" s="10"/>
      <c r="D41" s="10"/>
      <c r="E41" s="10"/>
      <c r="F41" s="10"/>
      <c r="G41" s="10"/>
      <c r="H41" s="10"/>
      <c r="I41" s="18"/>
      <c r="J41" s="17"/>
      <c r="K41" s="17" t="s">
        <v>281</v>
      </c>
      <c r="L41" s="17"/>
      <c r="M41" s="17"/>
      <c r="N41" s="17"/>
      <c r="O41" s="17"/>
      <c r="P41" s="17"/>
      <c r="Q41" s="17"/>
      <c r="R41" s="17"/>
      <c r="T41" s="14">
        <v>21</v>
      </c>
    </row>
    <row r="42" spans="1:21" ht="30" x14ac:dyDescent="0.25">
      <c r="A42" s="6">
        <v>28</v>
      </c>
      <c r="B42" s="6" t="s">
        <v>182</v>
      </c>
      <c r="C42" s="10"/>
      <c r="D42" s="10"/>
      <c r="E42" s="10"/>
      <c r="F42" s="10"/>
      <c r="G42" s="10"/>
      <c r="H42" s="10"/>
      <c r="I42" s="18"/>
      <c r="J42" s="17"/>
      <c r="K42" s="17"/>
      <c r="L42" s="17"/>
      <c r="M42" s="191" t="s">
        <v>282</v>
      </c>
      <c r="N42" s="192"/>
      <c r="O42" s="192"/>
      <c r="P42" s="17"/>
      <c r="Q42" s="17"/>
      <c r="R42" s="17"/>
      <c r="T42" s="14">
        <v>13</v>
      </c>
      <c r="U42" t="s">
        <v>283</v>
      </c>
    </row>
    <row r="43" spans="1:21" ht="30" x14ac:dyDescent="0.25">
      <c r="A43" s="6">
        <v>29</v>
      </c>
      <c r="B43" s="6" t="s">
        <v>182</v>
      </c>
      <c r="C43" s="10"/>
      <c r="D43" s="10"/>
      <c r="E43" s="10"/>
      <c r="F43" s="10"/>
      <c r="G43" s="10"/>
      <c r="H43" s="10"/>
      <c r="I43" s="18"/>
      <c r="J43" s="17"/>
      <c r="K43" s="17"/>
      <c r="L43" s="17"/>
      <c r="M43" s="192"/>
      <c r="N43" s="191" t="s">
        <v>284</v>
      </c>
      <c r="O43" s="192"/>
      <c r="P43" s="17"/>
      <c r="Q43" s="17"/>
      <c r="R43" s="17"/>
      <c r="T43" s="14">
        <v>13</v>
      </c>
      <c r="U43" t="s">
        <v>283</v>
      </c>
    </row>
    <row r="44" spans="1:21" ht="30" x14ac:dyDescent="0.25">
      <c r="A44" s="6">
        <v>29</v>
      </c>
      <c r="B44" s="6" t="s">
        <v>182</v>
      </c>
      <c r="C44" s="10"/>
      <c r="D44" s="10"/>
      <c r="E44" s="10"/>
      <c r="F44" s="10"/>
      <c r="G44" s="10"/>
      <c r="H44" s="10"/>
      <c r="I44" s="18"/>
      <c r="J44" s="17"/>
      <c r="K44" s="17"/>
      <c r="L44" s="17"/>
      <c r="M44" s="192"/>
      <c r="N44" s="191" t="s">
        <v>285</v>
      </c>
      <c r="O44" s="192"/>
      <c r="P44" s="17"/>
      <c r="Q44" s="17"/>
      <c r="R44" s="17"/>
      <c r="T44" s="14">
        <v>13</v>
      </c>
      <c r="U44" t="s">
        <v>283</v>
      </c>
    </row>
    <row r="45" spans="1:21" ht="30" x14ac:dyDescent="0.25">
      <c r="A45" s="6">
        <v>29</v>
      </c>
      <c r="B45" s="6" t="s">
        <v>182</v>
      </c>
      <c r="C45" s="10"/>
      <c r="D45" s="10"/>
      <c r="E45" s="10"/>
      <c r="F45" s="10"/>
      <c r="G45" s="10"/>
      <c r="H45" s="10"/>
      <c r="I45" s="18"/>
      <c r="J45" s="17"/>
      <c r="K45" s="17"/>
      <c r="L45" s="17"/>
      <c r="M45" s="192"/>
      <c r="N45" s="192"/>
      <c r="O45" s="191" t="s">
        <v>286</v>
      </c>
      <c r="P45" s="17"/>
      <c r="Q45" s="17"/>
      <c r="R45" s="17"/>
      <c r="T45" s="14">
        <v>13</v>
      </c>
      <c r="U45" t="s">
        <v>283</v>
      </c>
    </row>
    <row r="46" spans="1:21" ht="30" x14ac:dyDescent="0.25">
      <c r="A46" s="6">
        <v>29</v>
      </c>
      <c r="B46" s="6" t="s">
        <v>182</v>
      </c>
      <c r="C46" s="10"/>
      <c r="D46" s="10"/>
      <c r="E46" s="10"/>
      <c r="F46" s="10"/>
      <c r="G46" s="10"/>
      <c r="H46" s="10"/>
      <c r="I46" s="18"/>
      <c r="J46" s="17"/>
      <c r="K46" s="17"/>
      <c r="L46" s="17"/>
      <c r="M46" s="192"/>
      <c r="N46" s="192"/>
      <c r="O46" s="191" t="s">
        <v>287</v>
      </c>
      <c r="P46" s="17"/>
      <c r="Q46" s="17"/>
      <c r="R46" s="17"/>
      <c r="T46" s="14">
        <v>13</v>
      </c>
      <c r="U46" t="s">
        <v>283</v>
      </c>
    </row>
    <row r="49" spans="1:20" x14ac:dyDescent="0.25">
      <c r="A49" s="6">
        <v>1</v>
      </c>
      <c r="B49" s="6" t="s">
        <v>194</v>
      </c>
      <c r="C49" s="10"/>
      <c r="D49" s="10" t="s">
        <v>270</v>
      </c>
      <c r="E49" s="10"/>
      <c r="F49" s="10"/>
      <c r="G49" s="10"/>
      <c r="H49" s="10"/>
      <c r="I49" s="17"/>
      <c r="J49" s="17"/>
      <c r="K49" s="17"/>
      <c r="L49" s="17"/>
      <c r="M49" s="17"/>
      <c r="N49" s="17"/>
      <c r="O49" s="17"/>
      <c r="P49" s="17"/>
      <c r="Q49" s="17"/>
      <c r="R49" s="17"/>
      <c r="T49" s="14">
        <v>21</v>
      </c>
    </row>
    <row r="50" spans="1:20" x14ac:dyDescent="0.25">
      <c r="A50" s="6">
        <v>2</v>
      </c>
      <c r="B50" s="6" t="s">
        <v>194</v>
      </c>
      <c r="C50" s="10"/>
      <c r="D50" s="10" t="s">
        <v>272</v>
      </c>
      <c r="E50" s="10"/>
      <c r="F50" s="10"/>
      <c r="G50" s="10"/>
      <c r="H50" s="10"/>
      <c r="I50" s="17"/>
      <c r="J50" s="17"/>
      <c r="K50" s="17"/>
      <c r="L50" s="17"/>
      <c r="M50" s="17"/>
      <c r="N50" s="17"/>
      <c r="O50" s="17"/>
      <c r="P50" s="17"/>
      <c r="Q50" s="17"/>
      <c r="R50" s="17"/>
      <c r="T50" s="14">
        <v>1</v>
      </c>
    </row>
    <row r="51" spans="1:20" x14ac:dyDescent="0.25">
      <c r="A51" s="6">
        <v>3</v>
      </c>
      <c r="B51" s="6" t="s">
        <v>194</v>
      </c>
      <c r="C51" s="10"/>
      <c r="D51" s="10"/>
      <c r="E51" s="14" t="s">
        <v>288</v>
      </c>
      <c r="F51" s="14"/>
      <c r="G51" s="14"/>
      <c r="H51" s="14"/>
      <c r="I51" s="17"/>
      <c r="J51" s="17"/>
      <c r="K51" s="17"/>
      <c r="L51" s="17"/>
      <c r="M51" s="17"/>
      <c r="N51" s="17"/>
      <c r="O51" s="17"/>
      <c r="P51" s="17"/>
      <c r="Q51" s="17"/>
      <c r="R51" s="17"/>
      <c r="T51" s="14">
        <v>13</v>
      </c>
    </row>
    <row r="52" spans="1:20" x14ac:dyDescent="0.25">
      <c r="A52" s="6">
        <v>4</v>
      </c>
      <c r="B52" s="6" t="s">
        <v>194</v>
      </c>
      <c r="C52" s="10"/>
      <c r="D52" s="10"/>
      <c r="E52" s="14" t="s">
        <v>289</v>
      </c>
      <c r="F52" s="14"/>
      <c r="G52" s="14"/>
      <c r="H52" s="14"/>
      <c r="I52" s="17"/>
      <c r="J52" s="17"/>
      <c r="K52" s="17"/>
      <c r="L52" s="17"/>
      <c r="M52" s="17"/>
      <c r="N52" s="17"/>
      <c r="O52" s="17"/>
      <c r="P52" s="17"/>
      <c r="Q52" s="17"/>
      <c r="R52" s="17"/>
      <c r="T52" s="14">
        <v>8</v>
      </c>
    </row>
    <row r="53" spans="1:20" x14ac:dyDescent="0.25">
      <c r="A53" s="6">
        <v>5</v>
      </c>
      <c r="B53" s="6" t="s">
        <v>194</v>
      </c>
      <c r="C53" s="10"/>
      <c r="D53" s="10"/>
      <c r="E53" s="14" t="s">
        <v>290</v>
      </c>
      <c r="F53" s="14"/>
      <c r="G53" s="14"/>
      <c r="H53" s="14"/>
      <c r="I53" s="17"/>
      <c r="J53" s="17"/>
      <c r="K53" s="17"/>
      <c r="L53" s="17"/>
      <c r="M53" s="17"/>
      <c r="N53" s="17"/>
      <c r="O53" s="17"/>
      <c r="P53" s="17"/>
      <c r="Q53" s="17"/>
      <c r="R53" s="17"/>
      <c r="T53" s="14">
        <v>3</v>
      </c>
    </row>
    <row r="54" spans="1:20" x14ac:dyDescent="0.25">
      <c r="A54" s="6">
        <v>6</v>
      </c>
      <c r="B54" s="6" t="s">
        <v>194</v>
      </c>
      <c r="C54" s="10"/>
      <c r="D54" s="10"/>
      <c r="E54" s="14" t="s">
        <v>291</v>
      </c>
      <c r="F54" s="14"/>
      <c r="G54" s="14"/>
      <c r="H54" s="14"/>
      <c r="I54" s="17"/>
      <c r="J54" s="17"/>
      <c r="K54" s="17"/>
      <c r="L54" s="17"/>
      <c r="M54" s="17"/>
      <c r="N54" s="17"/>
      <c r="O54" s="17"/>
      <c r="P54" s="17"/>
      <c r="Q54" s="17"/>
      <c r="R54" s="17"/>
      <c r="T54" s="14">
        <v>0</v>
      </c>
    </row>
    <row r="55" spans="1:20" x14ac:dyDescent="0.25">
      <c r="A55" s="6">
        <v>7</v>
      </c>
      <c r="B55" s="6" t="s">
        <v>194</v>
      </c>
      <c r="C55" s="10"/>
      <c r="D55" s="10"/>
      <c r="E55" s="14"/>
      <c r="F55" s="14"/>
      <c r="G55" s="14">
        <v>1</v>
      </c>
      <c r="H55" s="14"/>
      <c r="I55" s="17"/>
      <c r="J55" s="17"/>
      <c r="K55" s="17"/>
      <c r="L55" s="17"/>
      <c r="M55" s="17"/>
      <c r="N55" s="17"/>
      <c r="O55" s="17"/>
      <c r="P55" s="17"/>
      <c r="Q55" s="17"/>
      <c r="R55" s="17"/>
      <c r="T55" s="14">
        <v>3</v>
      </c>
    </row>
    <row r="56" spans="1:20" x14ac:dyDescent="0.25">
      <c r="A56" s="6">
        <v>8</v>
      </c>
      <c r="B56" s="6" t="s">
        <v>194</v>
      </c>
      <c r="C56" s="10"/>
      <c r="D56" s="10"/>
      <c r="E56" s="14"/>
      <c r="F56" s="14"/>
      <c r="G56" s="14" t="s">
        <v>292</v>
      </c>
      <c r="H56" s="14"/>
      <c r="I56" s="17"/>
      <c r="J56" s="17"/>
      <c r="K56" s="17"/>
      <c r="L56" s="17"/>
      <c r="M56" s="17"/>
      <c r="N56" s="17"/>
      <c r="O56" s="17"/>
      <c r="P56" s="17"/>
      <c r="Q56" s="17"/>
      <c r="R56" s="17"/>
      <c r="T56" s="14">
        <v>8</v>
      </c>
    </row>
    <row r="57" spans="1:20" x14ac:dyDescent="0.25">
      <c r="A57" s="6">
        <v>9</v>
      </c>
      <c r="B57" s="6" t="s">
        <v>194</v>
      </c>
      <c r="C57" s="10"/>
      <c r="D57" s="10"/>
      <c r="E57" s="14"/>
      <c r="F57" s="14"/>
      <c r="G57" s="14" t="s">
        <v>293</v>
      </c>
      <c r="H57" s="14"/>
      <c r="I57" s="17"/>
      <c r="J57" s="17"/>
      <c r="K57" s="17"/>
      <c r="L57" s="17"/>
      <c r="M57" s="17"/>
      <c r="N57" s="17"/>
      <c r="O57" s="17"/>
      <c r="P57" s="17"/>
      <c r="Q57" s="17"/>
      <c r="R57" s="17"/>
      <c r="T57" s="14">
        <v>13</v>
      </c>
    </row>
    <row r="58" spans="1:20" x14ac:dyDescent="0.25">
      <c r="A58" s="6">
        <v>10</v>
      </c>
      <c r="B58" s="6" t="s">
        <v>194</v>
      </c>
      <c r="C58" s="10"/>
      <c r="D58" s="10"/>
      <c r="E58" s="14"/>
      <c r="F58" s="14"/>
      <c r="G58" s="14"/>
      <c r="H58" s="14">
        <v>1</v>
      </c>
      <c r="I58" s="17"/>
      <c r="J58" s="17"/>
      <c r="K58" s="17"/>
      <c r="L58" s="17"/>
      <c r="M58" s="17"/>
      <c r="N58" s="17"/>
      <c r="O58" s="17"/>
      <c r="P58" s="17"/>
      <c r="Q58" s="17"/>
      <c r="R58" s="17"/>
      <c r="T58" s="14">
        <v>3</v>
      </c>
    </row>
    <row r="59" spans="1:20" x14ac:dyDescent="0.25">
      <c r="A59" s="6">
        <v>11</v>
      </c>
      <c r="B59" s="6" t="s">
        <v>194</v>
      </c>
      <c r="C59" s="10"/>
      <c r="D59" s="10"/>
      <c r="E59" s="14"/>
      <c r="F59" s="14"/>
      <c r="G59" s="14"/>
      <c r="H59" s="14" t="s">
        <v>292</v>
      </c>
      <c r="I59" s="17"/>
      <c r="J59" s="17"/>
      <c r="K59" s="17"/>
      <c r="L59" s="17"/>
      <c r="M59" s="17"/>
      <c r="N59" s="17"/>
      <c r="O59" s="17"/>
      <c r="P59" s="17"/>
      <c r="Q59" s="17"/>
      <c r="R59" s="17"/>
      <c r="T59" s="14">
        <v>8</v>
      </c>
    </row>
    <row r="60" spans="1:20" x14ac:dyDescent="0.25">
      <c r="A60" s="6">
        <v>12</v>
      </c>
      <c r="B60" s="6" t="s">
        <v>194</v>
      </c>
      <c r="C60" s="10"/>
      <c r="D60" s="10"/>
      <c r="E60" s="14"/>
      <c r="F60" s="14"/>
      <c r="G60" s="14"/>
      <c r="H60" s="14" t="s">
        <v>293</v>
      </c>
      <c r="I60" s="17"/>
      <c r="J60" s="17"/>
      <c r="K60" s="17"/>
      <c r="L60" s="17"/>
      <c r="M60" s="17"/>
      <c r="N60" s="17"/>
      <c r="O60" s="17"/>
      <c r="P60" s="17"/>
      <c r="Q60" s="17"/>
      <c r="R60" s="17"/>
      <c r="T60" s="14">
        <v>13</v>
      </c>
    </row>
    <row r="61" spans="1:20" x14ac:dyDescent="0.25">
      <c r="A61" s="6">
        <v>13</v>
      </c>
      <c r="B61" s="6" t="s">
        <v>194</v>
      </c>
      <c r="C61" s="10"/>
      <c r="D61" s="10"/>
      <c r="E61" s="14"/>
      <c r="F61" s="14" t="s">
        <v>294</v>
      </c>
      <c r="G61" s="14"/>
      <c r="H61" s="14"/>
      <c r="I61" s="17"/>
      <c r="J61" s="17"/>
      <c r="K61" s="17"/>
      <c r="L61" s="17"/>
      <c r="M61" s="17"/>
      <c r="N61" s="17"/>
      <c r="O61" s="17"/>
      <c r="P61" s="17"/>
      <c r="Q61" s="17"/>
      <c r="R61" s="17"/>
      <c r="T61" s="14">
        <v>1</v>
      </c>
    </row>
    <row r="62" spans="1:20" x14ac:dyDescent="0.25">
      <c r="A62" s="6">
        <v>14</v>
      </c>
      <c r="B62" s="6" t="s">
        <v>194</v>
      </c>
      <c r="C62" s="10"/>
      <c r="D62" s="10"/>
      <c r="E62" s="14"/>
      <c r="F62" s="14" t="s">
        <v>295</v>
      </c>
      <c r="G62" s="14"/>
      <c r="H62" s="14"/>
      <c r="I62" s="17"/>
      <c r="J62" s="17"/>
      <c r="K62" s="17"/>
      <c r="L62" s="17"/>
      <c r="M62" s="17"/>
      <c r="N62" s="17"/>
      <c r="O62" s="17"/>
      <c r="P62" s="17"/>
      <c r="Q62" s="17"/>
      <c r="R62" s="17"/>
      <c r="T62" s="14">
        <v>3</v>
      </c>
    </row>
    <row r="63" spans="1:20" x14ac:dyDescent="0.25">
      <c r="A63" s="6">
        <v>15</v>
      </c>
      <c r="B63" s="6" t="s">
        <v>194</v>
      </c>
      <c r="C63" s="10"/>
      <c r="D63" s="10"/>
      <c r="E63" s="14"/>
      <c r="F63" s="14" t="s">
        <v>296</v>
      </c>
      <c r="G63" s="14"/>
      <c r="H63" s="14"/>
      <c r="I63" s="17"/>
      <c r="J63" s="17"/>
      <c r="K63" s="17"/>
      <c r="L63" s="17"/>
      <c r="M63" s="17"/>
      <c r="N63" s="17"/>
      <c r="O63" s="17"/>
      <c r="P63" s="17"/>
      <c r="Q63" s="17"/>
      <c r="R63" s="17"/>
      <c r="T63" s="14">
        <v>8</v>
      </c>
    </row>
    <row r="64" spans="1:20" x14ac:dyDescent="0.25">
      <c r="A64" s="6">
        <v>16</v>
      </c>
      <c r="B64" s="6" t="s">
        <v>194</v>
      </c>
      <c r="C64" s="10"/>
      <c r="D64" s="10"/>
      <c r="E64" s="14"/>
      <c r="F64" s="14" t="s">
        <v>297</v>
      </c>
      <c r="G64" s="14"/>
      <c r="H64" s="14"/>
      <c r="I64" s="17"/>
      <c r="J64" s="17"/>
      <c r="K64" s="17"/>
      <c r="L64" s="17"/>
      <c r="M64" s="17"/>
      <c r="N64" s="17"/>
      <c r="O64" s="17"/>
      <c r="P64" s="17"/>
      <c r="Q64" s="17"/>
      <c r="R64" s="17"/>
      <c r="T64" s="14">
        <v>13</v>
      </c>
    </row>
    <row r="65" spans="1:20" x14ac:dyDescent="0.25">
      <c r="A65" s="6">
        <v>17</v>
      </c>
      <c r="B65" s="6" t="s">
        <v>194</v>
      </c>
      <c r="C65" s="10"/>
      <c r="D65" s="10"/>
      <c r="E65" s="14"/>
      <c r="F65" s="14" t="s">
        <v>298</v>
      </c>
      <c r="G65" s="14"/>
      <c r="H65" s="14"/>
      <c r="I65" s="17"/>
      <c r="J65" s="17"/>
      <c r="K65" s="17"/>
      <c r="L65" s="17"/>
      <c r="M65" s="17"/>
      <c r="N65" s="17"/>
      <c r="O65" s="17"/>
      <c r="P65" s="17"/>
      <c r="Q65" s="17"/>
      <c r="R65" s="17"/>
      <c r="T65" s="14">
        <v>13</v>
      </c>
    </row>
    <row r="66" spans="1:20" x14ac:dyDescent="0.25">
      <c r="A66" s="62"/>
      <c r="B66" s="62"/>
      <c r="C66" s="62"/>
      <c r="D66" s="62"/>
      <c r="E66" s="62"/>
      <c r="F66" s="62"/>
      <c r="G66" s="62"/>
      <c r="H66" s="62"/>
      <c r="I66" s="62"/>
    </row>
  </sheetData>
  <conditionalFormatting sqref="C8">
    <cfRule type="duplicateValues" dxfId="86" priority="7"/>
  </conditionalFormatting>
  <conditionalFormatting sqref="C7:K7">
    <cfRule type="duplicateValues" dxfId="85" priority="8"/>
  </conditionalFormatting>
  <conditionalFormatting sqref="L7:O7">
    <cfRule type="duplicateValues" dxfId="84" priority="22"/>
  </conditionalFormatting>
  <conditionalFormatting sqref="Q7:R7">
    <cfRule type="duplicateValues" dxfId="83" priority="3"/>
  </conditionalFormatting>
  <conditionalFormatting sqref="T6:T7">
    <cfRule type="duplicateValues" dxfId="82" priority="6"/>
  </conditionalFormatting>
  <conditionalFormatting sqref="T8:T10">
    <cfRule type="duplicateValues" dxfId="81" priority="5"/>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DF4E9-E791-4451-9470-945AC1573025}">
  <sheetPr>
    <tabColor theme="9" tint="-0.499984740745262"/>
  </sheetPr>
  <dimension ref="A1:H20"/>
  <sheetViews>
    <sheetView zoomScaleNormal="100" workbookViewId="0">
      <selection activeCell="C10" sqref="C10"/>
    </sheetView>
  </sheetViews>
  <sheetFormatPr defaultRowHeight="15" x14ac:dyDescent="0.25"/>
  <cols>
    <col min="1" max="1" width="6.28515625" bestFit="1" customWidth="1"/>
    <col min="2" max="2" width="38.28515625" customWidth="1"/>
    <col min="3" max="3" width="34.5703125" customWidth="1"/>
    <col min="4" max="4" width="26.5703125" customWidth="1"/>
    <col min="5" max="5" width="30.5703125" customWidth="1"/>
    <col min="7" max="7" width="34.28515625" customWidth="1"/>
  </cols>
  <sheetData>
    <row r="1" spans="1:8" ht="17.25" x14ac:dyDescent="0.25">
      <c r="B1" s="89" t="s">
        <v>3</v>
      </c>
      <c r="C1" s="90" t="s">
        <v>33</v>
      </c>
      <c r="D1" s="91"/>
      <c r="E1" s="91"/>
      <c r="F1" s="91"/>
      <c r="G1" s="91"/>
      <c r="H1" s="91"/>
    </row>
    <row r="2" spans="1:8" ht="17.25" x14ac:dyDescent="0.25">
      <c r="B2" s="89" t="s">
        <v>158</v>
      </c>
      <c r="C2" s="90" t="s">
        <v>34</v>
      </c>
      <c r="D2" s="91"/>
      <c r="E2" s="91"/>
      <c r="F2" s="91"/>
      <c r="G2" s="91"/>
      <c r="H2" s="91"/>
    </row>
    <row r="3" spans="1:8" ht="17.25" x14ac:dyDescent="0.25">
      <c r="B3" s="89" t="s">
        <v>159</v>
      </c>
      <c r="C3" s="90" t="s">
        <v>299</v>
      </c>
      <c r="D3" s="91"/>
      <c r="E3" s="91"/>
      <c r="F3" s="91"/>
      <c r="G3" s="91"/>
      <c r="H3" s="91"/>
    </row>
    <row r="4" spans="1:8" ht="120" x14ac:dyDescent="0.25">
      <c r="B4" s="89" t="s">
        <v>162</v>
      </c>
      <c r="C4" s="92" t="s">
        <v>35</v>
      </c>
      <c r="D4" s="91"/>
      <c r="E4" s="91"/>
      <c r="F4" s="91"/>
      <c r="G4" s="91"/>
      <c r="H4" s="91"/>
    </row>
    <row r="5" spans="1:8" x14ac:dyDescent="0.25">
      <c r="A5" s="91"/>
      <c r="B5" s="91"/>
      <c r="C5" s="91"/>
      <c r="D5" s="91"/>
      <c r="E5" s="91"/>
      <c r="F5" s="91"/>
      <c r="G5" s="91"/>
    </row>
    <row r="6" spans="1:8" x14ac:dyDescent="0.25">
      <c r="A6" s="91"/>
      <c r="B6" s="6" t="s">
        <v>163</v>
      </c>
      <c r="C6" s="277" t="s">
        <v>164</v>
      </c>
      <c r="D6" s="277" t="s">
        <v>164</v>
      </c>
      <c r="E6" s="277" t="s">
        <v>164</v>
      </c>
      <c r="F6" s="91"/>
      <c r="G6" s="282" t="s">
        <v>300</v>
      </c>
    </row>
    <row r="7" spans="1:8" x14ac:dyDescent="0.25">
      <c r="A7" s="91"/>
      <c r="B7" s="93" t="s">
        <v>165</v>
      </c>
      <c r="C7" s="278" t="s">
        <v>223</v>
      </c>
      <c r="D7" s="278" t="s">
        <v>227</v>
      </c>
      <c r="E7" s="278" t="s">
        <v>222</v>
      </c>
      <c r="F7" s="91"/>
      <c r="G7" s="278" t="s">
        <v>33</v>
      </c>
    </row>
    <row r="8" spans="1:8" x14ac:dyDescent="0.25">
      <c r="A8" s="91"/>
      <c r="B8" s="93" t="s">
        <v>169</v>
      </c>
      <c r="C8" s="279"/>
      <c r="D8" s="279"/>
      <c r="E8" s="280"/>
      <c r="F8" s="91"/>
      <c r="G8" s="279"/>
    </row>
    <row r="9" spans="1:8" x14ac:dyDescent="0.25">
      <c r="A9" s="91"/>
      <c r="B9" s="93" t="s">
        <v>171</v>
      </c>
      <c r="C9" s="280" t="s">
        <v>172</v>
      </c>
      <c r="D9" s="280" t="s">
        <v>172</v>
      </c>
      <c r="E9" s="280" t="s">
        <v>172</v>
      </c>
      <c r="F9" s="91"/>
      <c r="G9" s="276"/>
    </row>
    <row r="10" spans="1:8" x14ac:dyDescent="0.25">
      <c r="A10" s="91"/>
      <c r="B10" s="93" t="s">
        <v>237</v>
      </c>
      <c r="C10" s="280" t="s">
        <v>241</v>
      </c>
      <c r="D10" s="280" t="s">
        <v>241</v>
      </c>
      <c r="E10" s="280" t="s">
        <v>176</v>
      </c>
      <c r="F10" s="91"/>
      <c r="G10" s="279"/>
    </row>
    <row r="11" spans="1:8" ht="60" x14ac:dyDescent="0.25">
      <c r="A11" s="93" t="s">
        <v>178</v>
      </c>
      <c r="B11" s="93" t="s">
        <v>301</v>
      </c>
      <c r="C11" s="281" t="s">
        <v>302</v>
      </c>
      <c r="D11" s="281" t="s">
        <v>303</v>
      </c>
      <c r="E11" s="281" t="s">
        <v>304</v>
      </c>
      <c r="F11" s="91"/>
      <c r="G11" s="281" t="s">
        <v>305</v>
      </c>
    </row>
    <row r="12" spans="1:8" x14ac:dyDescent="0.25">
      <c r="A12" s="93">
        <v>1</v>
      </c>
      <c r="B12" s="93" t="s">
        <v>182</v>
      </c>
      <c r="C12" s="95" t="s">
        <v>306</v>
      </c>
      <c r="D12" s="95"/>
      <c r="E12" s="96" t="s">
        <v>289</v>
      </c>
      <c r="F12" s="91"/>
      <c r="G12" s="97" t="s">
        <v>307</v>
      </c>
    </row>
    <row r="13" spans="1:8" x14ac:dyDescent="0.25">
      <c r="A13" s="93">
        <v>2</v>
      </c>
      <c r="B13" s="93" t="s">
        <v>182</v>
      </c>
      <c r="C13" s="95" t="s">
        <v>306</v>
      </c>
      <c r="D13" s="95"/>
      <c r="E13" s="96" t="s">
        <v>308</v>
      </c>
      <c r="F13" s="91"/>
      <c r="G13" s="97" t="s">
        <v>307</v>
      </c>
    </row>
    <row r="14" spans="1:8" x14ac:dyDescent="0.25">
      <c r="A14" s="93">
        <v>3</v>
      </c>
      <c r="B14" s="93" t="s">
        <v>182</v>
      </c>
      <c r="C14" s="95" t="s">
        <v>309</v>
      </c>
      <c r="D14" s="95"/>
      <c r="E14" s="96" t="s">
        <v>289</v>
      </c>
      <c r="F14" s="91"/>
      <c r="G14" s="97" t="s">
        <v>307</v>
      </c>
    </row>
    <row r="15" spans="1:8" x14ac:dyDescent="0.25">
      <c r="A15" s="93">
        <v>4</v>
      </c>
      <c r="B15" s="93" t="s">
        <v>182</v>
      </c>
      <c r="C15" s="95" t="s">
        <v>309</v>
      </c>
      <c r="D15" s="95"/>
      <c r="E15" s="96" t="s">
        <v>308</v>
      </c>
      <c r="F15" s="91"/>
      <c r="G15" s="97" t="s">
        <v>307</v>
      </c>
    </row>
    <row r="16" spans="1:8" x14ac:dyDescent="0.25">
      <c r="A16" s="93">
        <v>5</v>
      </c>
      <c r="B16" s="93" t="s">
        <v>182</v>
      </c>
      <c r="C16" s="95" t="s">
        <v>296</v>
      </c>
      <c r="D16" s="95"/>
      <c r="E16" s="96" t="s">
        <v>289</v>
      </c>
      <c r="F16" s="91"/>
      <c r="G16" s="97" t="s">
        <v>310</v>
      </c>
    </row>
    <row r="17" spans="1:7" x14ac:dyDescent="0.25">
      <c r="A17" s="93">
        <v>6</v>
      </c>
      <c r="B17" s="93" t="s">
        <v>182</v>
      </c>
      <c r="C17" s="95" t="s">
        <v>296</v>
      </c>
      <c r="D17" s="95"/>
      <c r="E17" s="96" t="s">
        <v>308</v>
      </c>
      <c r="F17" s="91"/>
      <c r="G17" s="97" t="s">
        <v>310</v>
      </c>
    </row>
    <row r="18" spans="1:7" x14ac:dyDescent="0.25">
      <c r="A18" s="93">
        <v>7</v>
      </c>
      <c r="B18" s="93" t="s">
        <v>182</v>
      </c>
      <c r="C18" s="95" t="s">
        <v>297</v>
      </c>
      <c r="D18" s="95"/>
      <c r="E18" s="96" t="s">
        <v>289</v>
      </c>
      <c r="F18" s="91"/>
      <c r="G18" s="97" t="s">
        <v>310</v>
      </c>
    </row>
    <row r="19" spans="1:7" x14ac:dyDescent="0.25">
      <c r="A19" s="93">
        <v>8</v>
      </c>
      <c r="B19" s="93" t="s">
        <v>182</v>
      </c>
      <c r="C19" s="95" t="s">
        <v>297</v>
      </c>
      <c r="D19" s="95"/>
      <c r="E19" s="96" t="s">
        <v>308</v>
      </c>
      <c r="F19" s="91"/>
      <c r="G19" s="97" t="s">
        <v>310</v>
      </c>
    </row>
    <row r="20" spans="1:7" x14ac:dyDescent="0.25">
      <c r="A20" s="93">
        <v>9</v>
      </c>
      <c r="B20" s="93" t="s">
        <v>182</v>
      </c>
      <c r="C20" s="95"/>
      <c r="D20" s="95"/>
      <c r="E20" s="96" t="s">
        <v>311</v>
      </c>
      <c r="F20" s="91"/>
      <c r="G20" s="97" t="s">
        <v>307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83CF8-B70C-447E-9643-2D4CB12B5C57}">
  <sheetPr>
    <tabColor theme="9" tint="-0.499984740745262"/>
  </sheetPr>
  <dimension ref="A1:G13"/>
  <sheetViews>
    <sheetView zoomScaleNormal="100" workbookViewId="0">
      <selection activeCell="B6" sqref="B6"/>
    </sheetView>
  </sheetViews>
  <sheetFormatPr defaultRowHeight="15" x14ac:dyDescent="0.25"/>
  <cols>
    <col min="2" max="2" width="31.28515625" customWidth="1"/>
    <col min="3" max="3" width="69.7109375" customWidth="1"/>
    <col min="4" max="4" width="32.28515625" customWidth="1"/>
    <col min="5" max="5" width="5" customWidth="1"/>
    <col min="6" max="6" width="33.7109375" customWidth="1"/>
    <col min="7" max="7" width="38.5703125" customWidth="1"/>
  </cols>
  <sheetData>
    <row r="1" spans="1:7" ht="17.25" x14ac:dyDescent="0.25">
      <c r="B1" s="89" t="s">
        <v>3</v>
      </c>
      <c r="C1" s="94" t="s">
        <v>312</v>
      </c>
    </row>
    <row r="2" spans="1:7" ht="17.25" x14ac:dyDescent="0.25">
      <c r="B2" s="89" t="s">
        <v>158</v>
      </c>
      <c r="C2" s="94" t="s">
        <v>312</v>
      </c>
    </row>
    <row r="3" spans="1:7" ht="17.25" x14ac:dyDescent="0.25">
      <c r="B3" s="89" t="s">
        <v>159</v>
      </c>
      <c r="C3" s="94" t="s">
        <v>199</v>
      </c>
    </row>
    <row r="4" spans="1:7" ht="30" x14ac:dyDescent="0.25">
      <c r="B4" s="89" t="s">
        <v>162</v>
      </c>
      <c r="C4" s="94" t="s">
        <v>41</v>
      </c>
    </row>
    <row r="6" spans="1:7" x14ac:dyDescent="0.25">
      <c r="A6" s="91"/>
      <c r="B6" s="6" t="s">
        <v>163</v>
      </c>
      <c r="C6" s="326" t="s">
        <v>164</v>
      </c>
      <c r="D6" s="277" t="s">
        <v>164</v>
      </c>
      <c r="E6" s="100"/>
      <c r="F6" s="345" t="s">
        <v>313</v>
      </c>
      <c r="G6" s="345" t="s">
        <v>200</v>
      </c>
    </row>
    <row r="7" spans="1:7" ht="30" x14ac:dyDescent="0.25">
      <c r="A7" s="91"/>
      <c r="B7" s="93" t="s">
        <v>165</v>
      </c>
      <c r="C7" s="342" t="s">
        <v>314</v>
      </c>
      <c r="D7" s="278" t="s">
        <v>315</v>
      </c>
      <c r="E7" s="100"/>
      <c r="F7" s="346" t="s">
        <v>316</v>
      </c>
      <c r="G7" s="347" t="s">
        <v>317</v>
      </c>
    </row>
    <row r="8" spans="1:7" x14ac:dyDescent="0.25">
      <c r="A8" s="91"/>
      <c r="B8" s="93" t="s">
        <v>169</v>
      </c>
      <c r="C8" s="279" t="s">
        <v>318</v>
      </c>
      <c r="D8" s="279" t="s">
        <v>319</v>
      </c>
      <c r="E8" s="91"/>
      <c r="F8" s="294"/>
      <c r="G8" s="294"/>
    </row>
    <row r="9" spans="1:7" x14ac:dyDescent="0.25">
      <c r="A9" s="91"/>
      <c r="B9" s="93" t="s">
        <v>171</v>
      </c>
      <c r="C9" s="276" t="s">
        <v>172</v>
      </c>
      <c r="D9" s="276" t="s">
        <v>172</v>
      </c>
      <c r="E9" s="91"/>
      <c r="F9" s="294" t="s">
        <v>172</v>
      </c>
      <c r="G9" s="294" t="s">
        <v>320</v>
      </c>
    </row>
    <row r="10" spans="1:7" x14ac:dyDescent="0.25">
      <c r="A10" s="91"/>
      <c r="B10" s="93" t="s">
        <v>237</v>
      </c>
      <c r="C10" s="255" t="s">
        <v>175</v>
      </c>
      <c r="D10" s="279" t="s">
        <v>173</v>
      </c>
      <c r="E10" s="91"/>
      <c r="F10" s="294" t="s">
        <v>173</v>
      </c>
      <c r="G10" s="294"/>
    </row>
    <row r="11" spans="1:7" x14ac:dyDescent="0.25">
      <c r="A11" s="93" t="s">
        <v>178</v>
      </c>
      <c r="B11" s="93" t="s">
        <v>301</v>
      </c>
      <c r="C11" s="255" t="s">
        <v>321</v>
      </c>
      <c r="D11" s="280" t="s">
        <v>322</v>
      </c>
      <c r="E11" s="91"/>
      <c r="F11" s="294"/>
      <c r="G11" s="294"/>
    </row>
    <row r="12" spans="1:7" x14ac:dyDescent="0.25">
      <c r="A12" s="93">
        <v>2</v>
      </c>
      <c r="B12" s="93" t="s">
        <v>323</v>
      </c>
      <c r="C12" s="333" t="s">
        <v>324</v>
      </c>
      <c r="D12" s="332" t="s">
        <v>325</v>
      </c>
      <c r="E12" s="91"/>
      <c r="F12" s="18" t="s">
        <v>326</v>
      </c>
      <c r="G12" s="18"/>
    </row>
    <row r="13" spans="1:7" x14ac:dyDescent="0.25">
      <c r="A13" s="93">
        <v>3</v>
      </c>
      <c r="B13" s="198" t="s">
        <v>323</v>
      </c>
      <c r="C13" s="343" t="s">
        <v>324</v>
      </c>
      <c r="D13" s="344" t="s">
        <v>327</v>
      </c>
      <c r="E13" s="199"/>
      <c r="F13" s="348" t="s">
        <v>328</v>
      </c>
      <c r="G13" s="1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2017E-B27B-4793-9160-85AB7EBF060C}">
  <sheetPr>
    <tabColor theme="9" tint="-0.499984740745262"/>
  </sheetPr>
  <dimension ref="A1:E24"/>
  <sheetViews>
    <sheetView showGridLines="0" zoomScaleNormal="100" workbookViewId="0">
      <selection activeCell="D4" sqref="D4"/>
    </sheetView>
  </sheetViews>
  <sheetFormatPr defaultRowHeight="15" x14ac:dyDescent="0.25"/>
  <cols>
    <col min="1" max="1" width="6.28515625" bestFit="1" customWidth="1"/>
    <col min="2" max="2" width="35.28515625" customWidth="1"/>
    <col min="3" max="3" width="31.42578125" bestFit="1" customWidth="1"/>
    <col min="4" max="4" width="8.5703125" customWidth="1"/>
    <col min="5" max="5" width="52.7109375" customWidth="1"/>
    <col min="6" max="6" width="26.42578125" customWidth="1"/>
  </cols>
  <sheetData>
    <row r="1" spans="1:5" ht="17.25" x14ac:dyDescent="0.25">
      <c r="B1" s="2" t="s">
        <v>3</v>
      </c>
      <c r="C1" s="69" t="s">
        <v>55</v>
      </c>
    </row>
    <row r="2" spans="1:5" ht="17.25" x14ac:dyDescent="0.25">
      <c r="B2" s="2" t="s">
        <v>158</v>
      </c>
      <c r="C2" s="69" t="s">
        <v>62</v>
      </c>
    </row>
    <row r="3" spans="1:5" s="47" customFormat="1" ht="17.25" x14ac:dyDescent="0.25">
      <c r="B3" s="48" t="s">
        <v>159</v>
      </c>
      <c r="C3" s="68" t="s">
        <v>199</v>
      </c>
    </row>
    <row r="4" spans="1:5" ht="64.900000000000006" customHeight="1" x14ac:dyDescent="0.25">
      <c r="B4" s="2" t="s">
        <v>162</v>
      </c>
      <c r="C4" s="78" t="s">
        <v>63</v>
      </c>
    </row>
    <row r="5" spans="1:5" ht="21" customHeight="1" x14ac:dyDescent="0.25">
      <c r="C5" s="62"/>
      <c r="D5" s="62"/>
      <c r="E5" s="62"/>
    </row>
    <row r="6" spans="1:5" x14ac:dyDescent="0.25">
      <c r="B6" s="6" t="s">
        <v>163</v>
      </c>
      <c r="C6" s="244" t="s">
        <v>164</v>
      </c>
      <c r="D6" s="62"/>
      <c r="E6" s="244" t="s">
        <v>200</v>
      </c>
    </row>
    <row r="7" spans="1:5" x14ac:dyDescent="0.25">
      <c r="B7" s="21" t="s">
        <v>165</v>
      </c>
      <c r="C7" s="244" t="s">
        <v>329</v>
      </c>
      <c r="E7" s="246" t="s">
        <v>330</v>
      </c>
    </row>
    <row r="8" spans="1:5" s="47" customFormat="1" x14ac:dyDescent="0.25">
      <c r="B8" s="51" t="s">
        <v>169</v>
      </c>
      <c r="C8" s="247"/>
      <c r="E8" s="248"/>
    </row>
    <row r="9" spans="1:5" s="47" customFormat="1" x14ac:dyDescent="0.25">
      <c r="B9" s="51" t="s">
        <v>171</v>
      </c>
      <c r="C9" s="247"/>
      <c r="D9" s="38"/>
      <c r="E9" s="248"/>
    </row>
    <row r="10" spans="1:5" x14ac:dyDescent="0.25">
      <c r="B10" s="6" t="s">
        <v>237</v>
      </c>
      <c r="C10" s="249" t="s">
        <v>241</v>
      </c>
      <c r="E10" s="249" t="s">
        <v>241</v>
      </c>
    </row>
    <row r="11" spans="1:5" s="38" customFormat="1" ht="92.25" customHeight="1" x14ac:dyDescent="0.25">
      <c r="A11" s="6" t="s">
        <v>178</v>
      </c>
      <c r="B11" s="6" t="s">
        <v>301</v>
      </c>
      <c r="C11" s="251" t="s">
        <v>331</v>
      </c>
      <c r="E11" s="251" t="s">
        <v>332</v>
      </c>
    </row>
    <row r="12" spans="1:5" x14ac:dyDescent="0.25">
      <c r="A12" s="6">
        <v>1</v>
      </c>
      <c r="B12" s="6" t="s">
        <v>182</v>
      </c>
      <c r="C12" s="106" t="s">
        <v>333</v>
      </c>
      <c r="E12" s="15" t="s">
        <v>333</v>
      </c>
    </row>
    <row r="13" spans="1:5" x14ac:dyDescent="0.25">
      <c r="A13" s="6">
        <v>2</v>
      </c>
      <c r="B13" s="6" t="s">
        <v>182</v>
      </c>
      <c r="C13" s="15" t="s">
        <v>289</v>
      </c>
      <c r="E13" s="15" t="s">
        <v>270</v>
      </c>
    </row>
    <row r="14" spans="1:5" x14ac:dyDescent="0.25">
      <c r="A14" s="6">
        <v>6</v>
      </c>
      <c r="B14" s="6" t="s">
        <v>182</v>
      </c>
      <c r="C14" s="15" t="s">
        <v>308</v>
      </c>
      <c r="E14" s="15" t="s">
        <v>270</v>
      </c>
    </row>
    <row r="15" spans="1:5" x14ac:dyDescent="0.25">
      <c r="A15" s="6">
        <v>5</v>
      </c>
      <c r="B15" s="6" t="s">
        <v>182</v>
      </c>
      <c r="C15" s="15" t="s">
        <v>334</v>
      </c>
      <c r="E15" s="15" t="s">
        <v>272</v>
      </c>
    </row>
    <row r="16" spans="1:5" x14ac:dyDescent="0.25">
      <c r="A16" s="6"/>
      <c r="B16" s="6" t="s">
        <v>182</v>
      </c>
      <c r="C16" s="15" t="s">
        <v>272</v>
      </c>
      <c r="E16" s="15" t="s">
        <v>272</v>
      </c>
    </row>
    <row r="17" spans="1:5" x14ac:dyDescent="0.25">
      <c r="A17" s="6"/>
      <c r="B17" s="6" t="s">
        <v>182</v>
      </c>
      <c r="C17" s="15" t="s">
        <v>335</v>
      </c>
      <c r="E17" s="15" t="s">
        <v>272</v>
      </c>
    </row>
    <row r="18" spans="1:5" x14ac:dyDescent="0.25">
      <c r="A18" s="6"/>
      <c r="B18" s="6" t="s">
        <v>182</v>
      </c>
      <c r="C18" s="15" t="s">
        <v>336</v>
      </c>
      <c r="E18" s="15" t="s">
        <v>272</v>
      </c>
    </row>
    <row r="19" spans="1:5" x14ac:dyDescent="0.25">
      <c r="A19" s="6">
        <v>8</v>
      </c>
      <c r="B19" s="6" t="s">
        <v>194</v>
      </c>
      <c r="C19" s="15" t="s">
        <v>288</v>
      </c>
      <c r="E19" s="15" t="s">
        <v>270</v>
      </c>
    </row>
    <row r="20" spans="1:5" x14ac:dyDescent="0.25">
      <c r="A20" s="6">
        <v>9</v>
      </c>
      <c r="B20" s="6" t="s">
        <v>194</v>
      </c>
      <c r="C20" s="15" t="s">
        <v>272</v>
      </c>
      <c r="E20" s="15" t="s">
        <v>272</v>
      </c>
    </row>
    <row r="21" spans="1:5" x14ac:dyDescent="0.25">
      <c r="A21" s="23"/>
    </row>
    <row r="24" spans="1:5" x14ac:dyDescent="0.25">
      <c r="A24" s="127">
        <v>7</v>
      </c>
      <c r="B24" s="127" t="s">
        <v>182</v>
      </c>
      <c r="C24" s="128" t="s">
        <v>295</v>
      </c>
      <c r="D24" s="129"/>
      <c r="E24" s="128" t="s">
        <v>270</v>
      </c>
    </row>
  </sheetData>
  <conditionalFormatting sqref="C7">
    <cfRule type="duplicateValues" dxfId="80" priority="2"/>
  </conditionalFormatting>
  <conditionalFormatting sqref="E7">
    <cfRule type="duplicateValues" dxfId="79"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4D9F8-CE24-478B-951E-5B36DF13FF07}">
  <sheetPr>
    <tabColor theme="9" tint="-0.499984740745262"/>
  </sheetPr>
  <dimension ref="A1:E15"/>
  <sheetViews>
    <sheetView showGridLines="0" zoomScaleNormal="100" workbookViewId="0">
      <selection activeCell="C4" sqref="C4"/>
    </sheetView>
  </sheetViews>
  <sheetFormatPr defaultRowHeight="15" x14ac:dyDescent="0.25"/>
  <cols>
    <col min="2" max="2" width="23.7109375" bestFit="1" customWidth="1"/>
    <col min="3" max="3" width="27.42578125" customWidth="1"/>
    <col min="4" max="4" width="2.7109375" customWidth="1"/>
    <col min="5" max="5" width="35.28515625" customWidth="1"/>
    <col min="6" max="6" width="8.28515625" customWidth="1"/>
  </cols>
  <sheetData>
    <row r="1" spans="1:5" ht="17.25" x14ac:dyDescent="0.25">
      <c r="B1" s="2" t="s">
        <v>3</v>
      </c>
      <c r="C1" s="1" t="s">
        <v>55</v>
      </c>
    </row>
    <row r="2" spans="1:5" ht="17.25" x14ac:dyDescent="0.25">
      <c r="B2" s="2" t="s">
        <v>158</v>
      </c>
      <c r="C2" s="1" t="s">
        <v>56</v>
      </c>
    </row>
    <row r="3" spans="1:5" s="47" customFormat="1" ht="17.25" x14ac:dyDescent="0.25">
      <c r="B3" s="48" t="s">
        <v>159</v>
      </c>
      <c r="C3" s="49" t="s">
        <v>199</v>
      </c>
    </row>
    <row r="4" spans="1:5" ht="49.5" customHeight="1" x14ac:dyDescent="0.25">
      <c r="B4" s="2" t="s">
        <v>162</v>
      </c>
      <c r="C4" s="5" t="s">
        <v>57</v>
      </c>
    </row>
    <row r="5" spans="1:5" ht="21" customHeight="1" x14ac:dyDescent="0.25"/>
    <row r="6" spans="1:5" x14ac:dyDescent="0.25">
      <c r="B6" s="6" t="s">
        <v>163</v>
      </c>
      <c r="C6" s="257" t="s">
        <v>164</v>
      </c>
      <c r="E6" s="258" t="s">
        <v>200</v>
      </c>
    </row>
    <row r="7" spans="1:5" x14ac:dyDescent="0.25">
      <c r="B7" s="21" t="s">
        <v>165</v>
      </c>
      <c r="C7" s="246" t="s">
        <v>337</v>
      </c>
      <c r="E7" s="244" t="s">
        <v>338</v>
      </c>
    </row>
    <row r="8" spans="1:5" s="47" customFormat="1" x14ac:dyDescent="0.25">
      <c r="B8" s="51" t="s">
        <v>169</v>
      </c>
      <c r="C8" s="247" t="s">
        <v>339</v>
      </c>
      <c r="E8" s="248"/>
    </row>
    <row r="9" spans="1:5" s="47" customFormat="1" x14ac:dyDescent="0.25">
      <c r="B9" s="51" t="s">
        <v>171</v>
      </c>
      <c r="C9" s="248" t="s">
        <v>340</v>
      </c>
      <c r="E9" s="248" t="s">
        <v>172</v>
      </c>
    </row>
    <row r="10" spans="1:5" x14ac:dyDescent="0.25">
      <c r="B10" s="6" t="s">
        <v>237</v>
      </c>
      <c r="C10" s="249"/>
      <c r="E10" s="249" t="s">
        <v>238</v>
      </c>
    </row>
    <row r="11" spans="1:5" ht="45" x14ac:dyDescent="0.25">
      <c r="A11" s="6" t="s">
        <v>178</v>
      </c>
      <c r="B11" s="6" t="s">
        <v>179</v>
      </c>
      <c r="C11" s="249" t="s">
        <v>240</v>
      </c>
      <c r="E11" s="251" t="s">
        <v>341</v>
      </c>
    </row>
    <row r="12" spans="1:5" ht="30" x14ac:dyDescent="0.25">
      <c r="A12" s="6">
        <v>1</v>
      </c>
      <c r="B12" s="6" t="s">
        <v>182</v>
      </c>
      <c r="C12" s="10" t="s">
        <v>342</v>
      </c>
      <c r="E12" s="10" t="s">
        <v>343</v>
      </c>
    </row>
    <row r="13" spans="1:5" ht="30" x14ac:dyDescent="0.25">
      <c r="A13" s="6">
        <v>2</v>
      </c>
      <c r="B13" s="6" t="s">
        <v>182</v>
      </c>
      <c r="C13" s="10" t="s">
        <v>344</v>
      </c>
      <c r="E13" s="10" t="s">
        <v>345</v>
      </c>
    </row>
    <row r="14" spans="1:5" x14ac:dyDescent="0.25">
      <c r="A14" s="6">
        <v>3</v>
      </c>
      <c r="B14" s="6" t="s">
        <v>194</v>
      </c>
      <c r="C14" s="10" t="s">
        <v>346</v>
      </c>
      <c r="E14" s="10" t="s">
        <v>343</v>
      </c>
    </row>
    <row r="15" spans="1:5" x14ac:dyDescent="0.25">
      <c r="A15" s="6">
        <v>4</v>
      </c>
      <c r="B15" s="6" t="s">
        <v>194</v>
      </c>
      <c r="C15" s="10" t="s">
        <v>347</v>
      </c>
      <c r="E15" s="10" t="s">
        <v>345</v>
      </c>
    </row>
  </sheetData>
  <conditionalFormatting sqref="C7">
    <cfRule type="duplicateValues" dxfId="78" priority="4"/>
  </conditionalFormatting>
  <conditionalFormatting sqref="C8">
    <cfRule type="duplicateValues" dxfId="77" priority="3"/>
  </conditionalFormatting>
  <conditionalFormatting sqref="E6:E7">
    <cfRule type="duplicateValues" dxfId="76" priority="18"/>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6353E-2D64-4E1F-BE85-102005351B63}">
  <sheetPr>
    <tabColor theme="9" tint="-0.499984740745262"/>
  </sheetPr>
  <dimension ref="A1:N25"/>
  <sheetViews>
    <sheetView showGridLines="0" zoomScaleNormal="100" workbookViewId="0">
      <selection activeCell="N15" sqref="N15"/>
    </sheetView>
  </sheetViews>
  <sheetFormatPr defaultRowHeight="15" x14ac:dyDescent="0.25"/>
  <cols>
    <col min="1" max="1" width="6.28515625" bestFit="1" customWidth="1"/>
    <col min="2" max="2" width="35.28515625" customWidth="1"/>
    <col min="3" max="3" width="31.42578125" bestFit="1" customWidth="1"/>
    <col min="4" max="4" width="36" customWidth="1"/>
    <col min="5" max="5" width="17.7109375" customWidth="1"/>
    <col min="6" max="8" width="18.28515625" customWidth="1"/>
    <col min="9" max="9" width="24.140625" customWidth="1"/>
    <col min="10" max="11" width="18.28515625" customWidth="1"/>
    <col min="12" max="12" width="8.28515625" customWidth="1"/>
    <col min="13" max="13" width="21.5703125" customWidth="1"/>
  </cols>
  <sheetData>
    <row r="1" spans="1:14" ht="17.25" x14ac:dyDescent="0.25">
      <c r="B1" s="2" t="s">
        <v>3</v>
      </c>
      <c r="C1" s="1" t="s">
        <v>55</v>
      </c>
    </row>
    <row r="2" spans="1:14" ht="17.25" x14ac:dyDescent="0.25">
      <c r="B2" s="2" t="s">
        <v>158</v>
      </c>
      <c r="C2" s="1" t="s">
        <v>59</v>
      </c>
    </row>
    <row r="3" spans="1:14" s="47" customFormat="1" ht="17.25" x14ac:dyDescent="0.25">
      <c r="B3" s="48" t="s">
        <v>159</v>
      </c>
      <c r="C3" s="49" t="s">
        <v>348</v>
      </c>
    </row>
    <row r="4" spans="1:14" ht="60" x14ac:dyDescent="0.25">
      <c r="B4" s="2" t="s">
        <v>162</v>
      </c>
      <c r="C4" s="5" t="s">
        <v>60</v>
      </c>
    </row>
    <row r="6" spans="1:14" x14ac:dyDescent="0.25">
      <c r="B6" s="6" t="s">
        <v>163</v>
      </c>
      <c r="C6" s="244" t="s">
        <v>164</v>
      </c>
      <c r="D6" s="244" t="s">
        <v>164</v>
      </c>
      <c r="E6" s="244" t="s">
        <v>164</v>
      </c>
      <c r="F6" s="244" t="s">
        <v>164</v>
      </c>
      <c r="G6" s="244" t="s">
        <v>164</v>
      </c>
      <c r="H6" s="243" t="s">
        <v>164</v>
      </c>
      <c r="I6" s="244" t="s">
        <v>349</v>
      </c>
      <c r="J6" s="244" t="s">
        <v>349</v>
      </c>
      <c r="K6" s="244" t="s">
        <v>349</v>
      </c>
      <c r="M6" s="258" t="s">
        <v>200</v>
      </c>
    </row>
    <row r="7" spans="1:14" ht="135" x14ac:dyDescent="0.25">
      <c r="B7" s="21" t="s">
        <v>165</v>
      </c>
      <c r="C7" s="244" t="s">
        <v>350</v>
      </c>
      <c r="D7" s="244" t="s">
        <v>351</v>
      </c>
      <c r="E7" s="260" t="s">
        <v>235</v>
      </c>
      <c r="F7" s="244" t="s">
        <v>352</v>
      </c>
      <c r="G7" s="261" t="s">
        <v>353</v>
      </c>
      <c r="H7" s="261" t="s">
        <v>354</v>
      </c>
      <c r="I7" s="365" t="s">
        <v>355</v>
      </c>
      <c r="J7" s="365" t="s">
        <v>356</v>
      </c>
      <c r="K7" s="366" t="s">
        <v>229</v>
      </c>
      <c r="M7" s="244" t="s">
        <v>329</v>
      </c>
    </row>
    <row r="8" spans="1:14" s="47" customFormat="1" x14ac:dyDescent="0.25">
      <c r="B8" s="51" t="s">
        <v>169</v>
      </c>
      <c r="C8" s="248"/>
      <c r="D8" s="248"/>
      <c r="E8" s="248"/>
      <c r="F8" s="248"/>
      <c r="G8" s="248"/>
      <c r="H8" s="248"/>
      <c r="I8" s="53"/>
      <c r="J8" s="53"/>
      <c r="K8" s="53"/>
      <c r="M8" s="247"/>
    </row>
    <row r="9" spans="1:14" s="47" customFormat="1" x14ac:dyDescent="0.25">
      <c r="B9" s="51" t="s">
        <v>171</v>
      </c>
      <c r="C9" s="248"/>
      <c r="D9" s="248"/>
      <c r="E9" s="248"/>
      <c r="F9" s="248"/>
      <c r="G9" s="248"/>
      <c r="H9" s="248"/>
      <c r="I9" s="53"/>
      <c r="J9" s="53"/>
      <c r="K9" s="53"/>
      <c r="M9" s="247"/>
    </row>
    <row r="10" spans="1:14" x14ac:dyDescent="0.25">
      <c r="B10" s="6" t="s">
        <v>237</v>
      </c>
      <c r="C10" s="249" t="s">
        <v>241</v>
      </c>
      <c r="D10" s="249" t="s">
        <v>176</v>
      </c>
      <c r="E10" s="249"/>
      <c r="F10" s="249"/>
      <c r="G10" s="249" t="s">
        <v>357</v>
      </c>
      <c r="H10" s="249" t="s">
        <v>358</v>
      </c>
      <c r="I10" s="36" t="s">
        <v>240</v>
      </c>
      <c r="J10" s="36" t="s">
        <v>240</v>
      </c>
      <c r="K10" s="36" t="s">
        <v>359</v>
      </c>
      <c r="M10" s="249" t="s">
        <v>241</v>
      </c>
    </row>
    <row r="11" spans="1:14" s="38" customFormat="1" ht="75" x14ac:dyDescent="0.25">
      <c r="A11" s="6" t="s">
        <v>178</v>
      </c>
      <c r="B11" s="6" t="s">
        <v>301</v>
      </c>
      <c r="C11" s="251" t="s">
        <v>360</v>
      </c>
      <c r="D11" s="251" t="s">
        <v>361</v>
      </c>
      <c r="E11" s="251" t="s">
        <v>362</v>
      </c>
      <c r="F11" s="251" t="s">
        <v>363</v>
      </c>
      <c r="G11" s="251" t="s">
        <v>364</v>
      </c>
      <c r="H11" s="251" t="s">
        <v>240</v>
      </c>
      <c r="I11" s="363"/>
      <c r="J11" s="363"/>
      <c r="K11" s="363" t="s">
        <v>229</v>
      </c>
      <c r="M11" s="251" t="s">
        <v>331</v>
      </c>
    </row>
    <row r="12" spans="1:14" s="38" customFormat="1" x14ac:dyDescent="0.25">
      <c r="A12" s="6">
        <v>1</v>
      </c>
      <c r="B12" s="6" t="s">
        <v>182</v>
      </c>
      <c r="C12" s="15"/>
      <c r="D12" s="15"/>
      <c r="E12" s="15"/>
      <c r="F12" s="15"/>
      <c r="G12" s="15"/>
      <c r="H12" s="15"/>
      <c r="I12" s="15" t="s">
        <v>365</v>
      </c>
      <c r="J12" s="15" t="s">
        <v>366</v>
      </c>
      <c r="K12" s="15"/>
      <c r="M12" s="251" t="s">
        <v>336</v>
      </c>
    </row>
    <row r="13" spans="1:14" x14ac:dyDescent="0.25">
      <c r="A13" s="6">
        <v>2</v>
      </c>
      <c r="B13" s="6" t="s">
        <v>182</v>
      </c>
      <c r="C13" s="15"/>
      <c r="D13" s="15"/>
      <c r="E13" s="15"/>
      <c r="F13" s="15" t="s">
        <v>367</v>
      </c>
      <c r="G13" s="15"/>
      <c r="H13" s="362"/>
      <c r="I13" s="15"/>
      <c r="J13" s="15"/>
      <c r="K13" s="15"/>
      <c r="M13" s="15" t="s">
        <v>333</v>
      </c>
    </row>
    <row r="14" spans="1:14" x14ac:dyDescent="0.25">
      <c r="A14" s="6">
        <v>3</v>
      </c>
      <c r="B14" s="6" t="s">
        <v>182</v>
      </c>
      <c r="C14" s="15"/>
      <c r="D14" s="15"/>
      <c r="E14" s="15" t="s">
        <v>333</v>
      </c>
      <c r="F14" s="15"/>
      <c r="G14" s="15"/>
      <c r="H14" s="362"/>
      <c r="I14" s="15"/>
      <c r="J14" s="15"/>
      <c r="K14" s="15"/>
      <c r="M14" s="15" t="s">
        <v>333</v>
      </c>
      <c r="N14" t="s">
        <v>368</v>
      </c>
    </row>
    <row r="15" spans="1:14" x14ac:dyDescent="0.25">
      <c r="A15" s="6">
        <v>4</v>
      </c>
      <c r="B15" s="6" t="s">
        <v>182</v>
      </c>
      <c r="C15" s="15" t="s">
        <v>345</v>
      </c>
      <c r="D15" s="46"/>
      <c r="E15" s="15"/>
      <c r="F15" s="15"/>
      <c r="G15" s="15"/>
      <c r="H15" s="362"/>
      <c r="I15" s="15"/>
      <c r="J15" s="15"/>
      <c r="K15" s="15"/>
      <c r="M15" s="15" t="s">
        <v>289</v>
      </c>
    </row>
    <row r="16" spans="1:14" x14ac:dyDescent="0.25">
      <c r="A16" s="6">
        <v>5</v>
      </c>
      <c r="B16" s="6" t="s">
        <v>182</v>
      </c>
      <c r="C16" s="15" t="s">
        <v>343</v>
      </c>
      <c r="D16" s="15" t="s">
        <v>369</v>
      </c>
      <c r="E16" s="15"/>
      <c r="F16" s="15"/>
      <c r="G16" s="15"/>
      <c r="H16" s="362"/>
      <c r="I16" s="15"/>
      <c r="J16" s="15"/>
      <c r="K16" s="15"/>
      <c r="M16" s="15" t="s">
        <v>289</v>
      </c>
    </row>
    <row r="17" spans="1:14" x14ac:dyDescent="0.25">
      <c r="A17" s="6">
        <v>6</v>
      </c>
      <c r="B17" s="6" t="s">
        <v>182</v>
      </c>
      <c r="C17" s="15" t="s">
        <v>343</v>
      </c>
      <c r="D17" s="15" t="s">
        <v>370</v>
      </c>
      <c r="E17" s="15"/>
      <c r="F17" s="15"/>
      <c r="G17" s="15"/>
      <c r="H17" s="362"/>
      <c r="I17" s="15"/>
      <c r="J17" s="15"/>
      <c r="K17" s="15"/>
      <c r="M17" s="15" t="s">
        <v>371</v>
      </c>
    </row>
    <row r="18" spans="1:14" x14ac:dyDescent="0.25">
      <c r="A18" s="6">
        <v>7</v>
      </c>
      <c r="B18" s="6" t="s">
        <v>182</v>
      </c>
      <c r="C18" s="15" t="s">
        <v>343</v>
      </c>
      <c r="D18" s="15" t="s">
        <v>372</v>
      </c>
      <c r="E18" s="15"/>
      <c r="F18" s="15"/>
      <c r="G18" s="15"/>
      <c r="H18" s="362"/>
      <c r="I18" s="15"/>
      <c r="J18" s="15"/>
      <c r="K18" s="15"/>
      <c r="M18" s="15" t="s">
        <v>371</v>
      </c>
    </row>
    <row r="19" spans="1:14" x14ac:dyDescent="0.25">
      <c r="A19" s="6">
        <v>8</v>
      </c>
      <c r="B19" s="6" t="s">
        <v>194</v>
      </c>
      <c r="C19" s="15" t="s">
        <v>343</v>
      </c>
      <c r="D19" s="15"/>
      <c r="E19" s="15"/>
      <c r="F19" s="15"/>
      <c r="G19" s="15"/>
      <c r="H19" s="362"/>
      <c r="I19" s="15"/>
      <c r="J19" s="15"/>
      <c r="K19" s="15"/>
      <c r="M19" s="15" t="s">
        <v>308</v>
      </c>
    </row>
    <row r="20" spans="1:14" x14ac:dyDescent="0.25">
      <c r="A20" s="6">
        <v>9</v>
      </c>
      <c r="B20" s="6" t="s">
        <v>194</v>
      </c>
      <c r="C20" s="15" t="s">
        <v>373</v>
      </c>
      <c r="D20" s="15"/>
      <c r="E20" s="15"/>
      <c r="F20" s="15"/>
      <c r="G20" s="15"/>
      <c r="H20" s="362"/>
      <c r="I20" s="15"/>
      <c r="J20" s="15"/>
      <c r="K20" s="15"/>
      <c r="M20" s="15" t="s">
        <v>272</v>
      </c>
    </row>
    <row r="21" spans="1:14" x14ac:dyDescent="0.25">
      <c r="A21" s="6">
        <v>10</v>
      </c>
      <c r="B21" s="6" t="s">
        <v>194</v>
      </c>
      <c r="C21" s="15" t="s">
        <v>374</v>
      </c>
      <c r="D21" s="15"/>
      <c r="E21" s="15"/>
      <c r="F21" s="15"/>
      <c r="G21" s="15"/>
      <c r="H21" s="362"/>
      <c r="I21" s="15"/>
      <c r="J21" s="15"/>
      <c r="K21" s="15"/>
      <c r="M21" s="15" t="s">
        <v>272</v>
      </c>
      <c r="N21" s="8"/>
    </row>
    <row r="23" spans="1:14" x14ac:dyDescent="0.25">
      <c r="B23" s="6" t="s">
        <v>375</v>
      </c>
      <c r="C23" s="15" t="s">
        <v>343</v>
      </c>
      <c r="D23" s="15" t="s">
        <v>370</v>
      </c>
      <c r="E23" s="15"/>
      <c r="F23" s="46"/>
      <c r="G23" s="46"/>
      <c r="H23" s="364" t="s">
        <v>376</v>
      </c>
      <c r="I23" s="46"/>
      <c r="J23" s="46"/>
      <c r="K23" s="46"/>
      <c r="M23" s="15" t="s">
        <v>377</v>
      </c>
    </row>
    <row r="24" spans="1:14" x14ac:dyDescent="0.25">
      <c r="B24" s="6" t="s">
        <v>375</v>
      </c>
      <c r="C24" s="15" t="s">
        <v>343</v>
      </c>
      <c r="D24" s="15" t="s">
        <v>372</v>
      </c>
      <c r="E24" s="15"/>
      <c r="F24" s="15"/>
      <c r="G24" s="15"/>
      <c r="H24" s="364" t="s">
        <v>376</v>
      </c>
      <c r="I24" s="46"/>
      <c r="J24" s="46"/>
      <c r="K24" s="46"/>
      <c r="M24" s="15" t="s">
        <v>377</v>
      </c>
    </row>
    <row r="25" spans="1:14" x14ac:dyDescent="0.25">
      <c r="B25" s="6" t="s">
        <v>375</v>
      </c>
      <c r="C25" s="15" t="s">
        <v>343</v>
      </c>
      <c r="D25" s="46"/>
      <c r="E25" s="15"/>
      <c r="F25" s="15"/>
      <c r="G25" s="15" t="b">
        <v>1</v>
      </c>
      <c r="H25" s="362" t="s">
        <v>376</v>
      </c>
      <c r="I25" s="15"/>
      <c r="J25" s="15"/>
      <c r="K25" s="15"/>
      <c r="M25" s="15" t="s">
        <v>377</v>
      </c>
    </row>
  </sheetData>
  <conditionalFormatting sqref="C7:F7">
    <cfRule type="duplicateValues" dxfId="75" priority="118"/>
  </conditionalFormatting>
  <conditionalFormatting sqref="G7:H7">
    <cfRule type="duplicateValues" dxfId="74" priority="1"/>
  </conditionalFormatting>
  <conditionalFormatting sqref="M7">
    <cfRule type="duplicateValues" dxfId="73" priority="6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7F232-F61D-4EC0-AB88-DEF0A6D1DBF9}">
  <sheetPr>
    <tabColor rgb="FFFF0000"/>
  </sheetPr>
  <dimension ref="A1:G51"/>
  <sheetViews>
    <sheetView showGridLines="0" topLeftCell="A5" zoomScaleNormal="100" workbookViewId="0">
      <selection activeCell="C14" sqref="C14"/>
    </sheetView>
  </sheetViews>
  <sheetFormatPr defaultColWidth="45" defaultRowHeight="15" x14ac:dyDescent="0.25"/>
  <cols>
    <col min="1" max="1" width="6.28515625" customWidth="1"/>
    <col min="2" max="2" width="26.28515625" customWidth="1"/>
    <col min="3" max="3" width="40.7109375" customWidth="1"/>
    <col min="4" max="4" width="36.28515625" customWidth="1"/>
    <col min="5" max="5" width="17.5703125" customWidth="1"/>
    <col min="6" max="6" width="18.28515625" bestFit="1" customWidth="1"/>
  </cols>
  <sheetData>
    <row r="1" spans="1:6" ht="17.25" x14ac:dyDescent="0.25">
      <c r="B1" s="2" t="s">
        <v>3</v>
      </c>
      <c r="C1" s="37" t="s">
        <v>18</v>
      </c>
    </row>
    <row r="2" spans="1:6" ht="17.25" x14ac:dyDescent="0.25">
      <c r="B2" s="2" t="s">
        <v>158</v>
      </c>
      <c r="C2" s="1" t="s">
        <v>18</v>
      </c>
    </row>
    <row r="3" spans="1:6" s="47" customFormat="1" ht="14.25" customHeight="1" x14ac:dyDescent="0.25">
      <c r="B3" s="48" t="s">
        <v>159</v>
      </c>
      <c r="C3" s="49" t="s">
        <v>160</v>
      </c>
      <c r="D3" s="50" t="s">
        <v>161</v>
      </c>
    </row>
    <row r="4" spans="1:6" ht="75" x14ac:dyDescent="0.25">
      <c r="B4" s="2" t="s">
        <v>162</v>
      </c>
      <c r="C4" s="5" t="s">
        <v>19</v>
      </c>
    </row>
    <row r="6" spans="1:6" x14ac:dyDescent="0.25">
      <c r="C6" s="398" t="s">
        <v>378</v>
      </c>
      <c r="D6" s="399"/>
      <c r="F6" s="20" t="s">
        <v>379</v>
      </c>
    </row>
    <row r="7" spans="1:6" x14ac:dyDescent="0.25">
      <c r="B7" s="6" t="s">
        <v>165</v>
      </c>
      <c r="C7" s="4" t="s">
        <v>166</v>
      </c>
      <c r="D7" s="4" t="s">
        <v>167</v>
      </c>
      <c r="F7" s="19" t="s">
        <v>168</v>
      </c>
    </row>
    <row r="8" spans="1:6" s="47" customFormat="1" x14ac:dyDescent="0.25">
      <c r="B8" s="51" t="s">
        <v>169</v>
      </c>
      <c r="C8" s="52" t="s">
        <v>170</v>
      </c>
      <c r="D8" s="49"/>
      <c r="F8" s="52"/>
    </row>
    <row r="9" spans="1:6" s="47" customFormat="1" x14ac:dyDescent="0.25">
      <c r="B9" s="51" t="s">
        <v>171</v>
      </c>
      <c r="C9" s="53" t="s">
        <v>172</v>
      </c>
      <c r="D9" s="53" t="s">
        <v>172</v>
      </c>
      <c r="E9" s="54"/>
      <c r="F9" s="55" t="s">
        <v>173</v>
      </c>
    </row>
    <row r="10" spans="1:6" x14ac:dyDescent="0.25">
      <c r="B10" s="6" t="s">
        <v>174</v>
      </c>
      <c r="C10" s="1" t="s">
        <v>175</v>
      </c>
      <c r="D10" s="1" t="s">
        <v>176</v>
      </c>
      <c r="F10" s="3" t="s">
        <v>177</v>
      </c>
    </row>
    <row r="11" spans="1:6" ht="30" x14ac:dyDescent="0.25">
      <c r="A11" s="6" t="s">
        <v>178</v>
      </c>
      <c r="B11" s="6" t="s">
        <v>179</v>
      </c>
      <c r="C11" s="1" t="s">
        <v>166</v>
      </c>
      <c r="D11" s="7" t="s">
        <v>180</v>
      </c>
      <c r="F11" s="7" t="s">
        <v>380</v>
      </c>
    </row>
    <row r="12" spans="1:6" x14ac:dyDescent="0.25">
      <c r="A12" s="6">
        <v>1</v>
      </c>
      <c r="B12" s="12" t="s">
        <v>182</v>
      </c>
      <c r="C12" s="10" t="s">
        <v>381</v>
      </c>
      <c r="D12" s="10" t="s">
        <v>382</v>
      </c>
      <c r="F12" s="11" t="b">
        <v>1</v>
      </c>
    </row>
    <row r="13" spans="1:6" x14ac:dyDescent="0.25">
      <c r="A13" s="6">
        <v>2</v>
      </c>
      <c r="B13" s="12" t="s">
        <v>182</v>
      </c>
      <c r="C13" s="29" t="s">
        <v>381</v>
      </c>
      <c r="D13" s="29" t="s">
        <v>383</v>
      </c>
      <c r="E13" s="30"/>
      <c r="F13" s="31" t="b">
        <v>0</v>
      </c>
    </row>
    <row r="14" spans="1:6" x14ac:dyDescent="0.25">
      <c r="A14" s="6">
        <v>3</v>
      </c>
      <c r="B14" s="12" t="s">
        <v>182</v>
      </c>
      <c r="C14" s="10" t="s">
        <v>381</v>
      </c>
      <c r="D14" s="10" t="s">
        <v>384</v>
      </c>
      <c r="F14" s="11" t="b">
        <v>0</v>
      </c>
    </row>
    <row r="15" spans="1:6" x14ac:dyDescent="0.25">
      <c r="A15" s="6">
        <v>4</v>
      </c>
      <c r="B15" s="12" t="s">
        <v>182</v>
      </c>
      <c r="C15" s="10" t="s">
        <v>381</v>
      </c>
      <c r="D15" s="10" t="s">
        <v>385</v>
      </c>
      <c r="F15" s="11" t="b">
        <v>0</v>
      </c>
    </row>
    <row r="16" spans="1:6" x14ac:dyDescent="0.25">
      <c r="A16" s="6">
        <v>5</v>
      </c>
      <c r="B16" s="12" t="s">
        <v>182</v>
      </c>
      <c r="C16" s="10" t="s">
        <v>381</v>
      </c>
      <c r="D16" s="10" t="s">
        <v>386</v>
      </c>
      <c r="F16" s="11" t="b">
        <v>0</v>
      </c>
    </row>
    <row r="17" spans="1:6" x14ac:dyDescent="0.25">
      <c r="A17" s="6">
        <v>6</v>
      </c>
      <c r="B17" s="12" t="s">
        <v>182</v>
      </c>
      <c r="C17" s="10" t="s">
        <v>381</v>
      </c>
      <c r="D17" s="10" t="s">
        <v>387</v>
      </c>
      <c r="F17" s="11" t="b">
        <v>0</v>
      </c>
    </row>
    <row r="18" spans="1:6" x14ac:dyDescent="0.25">
      <c r="A18" s="6">
        <v>7</v>
      </c>
      <c r="B18" s="12" t="s">
        <v>182</v>
      </c>
      <c r="C18" s="10" t="s">
        <v>381</v>
      </c>
      <c r="D18" s="10" t="s">
        <v>388</v>
      </c>
      <c r="F18" s="11" t="b">
        <v>0</v>
      </c>
    </row>
    <row r="19" spans="1:6" x14ac:dyDescent="0.25">
      <c r="A19" s="6">
        <v>8</v>
      </c>
      <c r="B19" s="12" t="s">
        <v>182</v>
      </c>
      <c r="C19" s="10" t="s">
        <v>381</v>
      </c>
      <c r="D19" s="10" t="s">
        <v>389</v>
      </c>
      <c r="F19" s="11" t="b">
        <v>0</v>
      </c>
    </row>
    <row r="20" spans="1:6" x14ac:dyDescent="0.25">
      <c r="A20" s="6">
        <v>9</v>
      </c>
      <c r="B20" s="12" t="s">
        <v>182</v>
      </c>
      <c r="C20" s="10" t="s">
        <v>381</v>
      </c>
      <c r="D20" s="10" t="s">
        <v>390</v>
      </c>
      <c r="F20" s="11" t="b">
        <v>0</v>
      </c>
    </row>
    <row r="21" spans="1:6" x14ac:dyDescent="0.25">
      <c r="A21" s="6">
        <v>10</v>
      </c>
      <c r="B21" s="12" t="s">
        <v>182</v>
      </c>
      <c r="C21" s="10" t="s">
        <v>381</v>
      </c>
      <c r="D21" s="10" t="s">
        <v>391</v>
      </c>
      <c r="F21" s="11" t="b">
        <v>0</v>
      </c>
    </row>
    <row r="22" spans="1:6" x14ac:dyDescent="0.25">
      <c r="A22" s="6">
        <v>11</v>
      </c>
      <c r="B22" s="12" t="s">
        <v>182</v>
      </c>
      <c r="C22" s="10" t="s">
        <v>392</v>
      </c>
      <c r="D22" s="10" t="s">
        <v>382</v>
      </c>
      <c r="F22" s="11" t="b">
        <v>1</v>
      </c>
    </row>
    <row r="23" spans="1:6" x14ac:dyDescent="0.25">
      <c r="A23" s="6">
        <v>12</v>
      </c>
      <c r="B23" s="12" t="s">
        <v>182</v>
      </c>
      <c r="C23" s="10" t="s">
        <v>392</v>
      </c>
      <c r="D23" s="10" t="s">
        <v>383</v>
      </c>
      <c r="F23" s="11" t="b">
        <v>1</v>
      </c>
    </row>
    <row r="24" spans="1:6" x14ac:dyDescent="0.25">
      <c r="A24" s="6">
        <v>13</v>
      </c>
      <c r="B24" s="12" t="s">
        <v>182</v>
      </c>
      <c r="C24" s="10" t="s">
        <v>392</v>
      </c>
      <c r="D24" s="10" t="s">
        <v>384</v>
      </c>
      <c r="F24" s="11" t="b">
        <v>1</v>
      </c>
    </row>
    <row r="25" spans="1:6" x14ac:dyDescent="0.25">
      <c r="A25" s="6">
        <v>14</v>
      </c>
      <c r="B25" s="12" t="s">
        <v>182</v>
      </c>
      <c r="C25" s="10" t="s">
        <v>392</v>
      </c>
      <c r="D25" s="10" t="s">
        <v>385</v>
      </c>
      <c r="F25" s="11" t="b">
        <v>1</v>
      </c>
    </row>
    <row r="26" spans="1:6" x14ac:dyDescent="0.25">
      <c r="A26" s="6">
        <v>15</v>
      </c>
      <c r="B26" s="12" t="s">
        <v>182</v>
      </c>
      <c r="C26" s="10" t="s">
        <v>392</v>
      </c>
      <c r="D26" s="10" t="s">
        <v>386</v>
      </c>
      <c r="F26" s="11" t="b">
        <v>1</v>
      </c>
    </row>
    <row r="27" spans="1:6" x14ac:dyDescent="0.25">
      <c r="A27" s="6">
        <v>16</v>
      </c>
      <c r="B27" s="12" t="s">
        <v>182</v>
      </c>
      <c r="C27" s="10" t="s">
        <v>392</v>
      </c>
      <c r="D27" s="10" t="s">
        <v>387</v>
      </c>
      <c r="F27" s="11" t="b">
        <v>1</v>
      </c>
    </row>
    <row r="28" spans="1:6" x14ac:dyDescent="0.25">
      <c r="A28" s="6">
        <v>17</v>
      </c>
      <c r="B28" s="12" t="s">
        <v>182</v>
      </c>
      <c r="C28" s="10" t="s">
        <v>392</v>
      </c>
      <c r="D28" s="10" t="s">
        <v>388</v>
      </c>
      <c r="F28" s="11" t="b">
        <v>1</v>
      </c>
    </row>
    <row r="29" spans="1:6" x14ac:dyDescent="0.25">
      <c r="A29" s="6">
        <v>18</v>
      </c>
      <c r="B29" s="12" t="s">
        <v>182</v>
      </c>
      <c r="C29" s="10" t="s">
        <v>392</v>
      </c>
      <c r="D29" s="10" t="s">
        <v>389</v>
      </c>
      <c r="F29" s="11" t="b">
        <v>0</v>
      </c>
    </row>
    <row r="30" spans="1:6" x14ac:dyDescent="0.25">
      <c r="A30" s="6">
        <v>19</v>
      </c>
      <c r="B30" s="12" t="s">
        <v>182</v>
      </c>
      <c r="C30" s="10" t="s">
        <v>392</v>
      </c>
      <c r="D30" s="10" t="s">
        <v>390</v>
      </c>
      <c r="F30" s="11" t="b">
        <v>1</v>
      </c>
    </row>
    <row r="31" spans="1:6" x14ac:dyDescent="0.25">
      <c r="A31" s="6">
        <v>20</v>
      </c>
      <c r="B31" s="12" t="s">
        <v>182</v>
      </c>
      <c r="C31" s="10" t="s">
        <v>392</v>
      </c>
      <c r="D31" s="10" t="s">
        <v>391</v>
      </c>
      <c r="F31" s="11" t="b">
        <v>1</v>
      </c>
    </row>
    <row r="32" spans="1:6" x14ac:dyDescent="0.25">
      <c r="A32" s="6">
        <v>21</v>
      </c>
      <c r="B32" s="12" t="s">
        <v>194</v>
      </c>
      <c r="C32" s="10" t="s">
        <v>381</v>
      </c>
      <c r="D32" s="10" t="s">
        <v>382</v>
      </c>
      <c r="F32" s="11" t="b">
        <v>1</v>
      </c>
    </row>
    <row r="33" spans="1:7" x14ac:dyDescent="0.25">
      <c r="A33" s="6">
        <v>22</v>
      </c>
      <c r="B33" s="12" t="s">
        <v>194</v>
      </c>
      <c r="C33" s="10" t="s">
        <v>381</v>
      </c>
      <c r="D33" s="10" t="s">
        <v>383</v>
      </c>
      <c r="F33" s="11" t="b">
        <v>0</v>
      </c>
      <c r="G33" t="s">
        <v>195</v>
      </c>
    </row>
    <row r="34" spans="1:7" x14ac:dyDescent="0.25">
      <c r="A34" s="6">
        <v>23</v>
      </c>
      <c r="B34" s="12" t="s">
        <v>194</v>
      </c>
      <c r="C34" s="10" t="s">
        <v>381</v>
      </c>
      <c r="D34" s="10" t="s">
        <v>384</v>
      </c>
      <c r="F34" s="11" t="b">
        <v>0</v>
      </c>
    </row>
    <row r="35" spans="1:7" x14ac:dyDescent="0.25">
      <c r="A35" s="6">
        <v>24</v>
      </c>
      <c r="B35" s="12" t="s">
        <v>194</v>
      </c>
      <c r="C35" s="10" t="s">
        <v>381</v>
      </c>
      <c r="D35" s="10" t="s">
        <v>385</v>
      </c>
      <c r="F35" s="11" t="b">
        <v>0</v>
      </c>
    </row>
    <row r="36" spans="1:7" x14ac:dyDescent="0.25">
      <c r="A36" s="6">
        <v>25</v>
      </c>
      <c r="B36" s="12" t="s">
        <v>194</v>
      </c>
      <c r="C36" s="10" t="s">
        <v>381</v>
      </c>
      <c r="D36" s="10" t="s">
        <v>386</v>
      </c>
      <c r="F36" s="11" t="b">
        <v>0</v>
      </c>
    </row>
    <row r="37" spans="1:7" x14ac:dyDescent="0.25">
      <c r="A37" s="6">
        <v>26</v>
      </c>
      <c r="B37" s="12" t="s">
        <v>194</v>
      </c>
      <c r="C37" s="10" t="s">
        <v>381</v>
      </c>
      <c r="D37" s="10" t="s">
        <v>387</v>
      </c>
      <c r="F37" s="11" t="b">
        <v>0</v>
      </c>
    </row>
    <row r="38" spans="1:7" x14ac:dyDescent="0.25">
      <c r="A38" s="6">
        <v>27</v>
      </c>
      <c r="B38" s="12" t="s">
        <v>194</v>
      </c>
      <c r="C38" s="10" t="s">
        <v>381</v>
      </c>
      <c r="D38" s="10" t="s">
        <v>388</v>
      </c>
      <c r="F38" s="11" t="b">
        <v>0</v>
      </c>
    </row>
    <row r="39" spans="1:7" x14ac:dyDescent="0.25">
      <c r="A39" s="6">
        <v>28</v>
      </c>
      <c r="B39" s="12" t="s">
        <v>194</v>
      </c>
      <c r="C39" s="10" t="s">
        <v>381</v>
      </c>
      <c r="D39" s="10" t="s">
        <v>389</v>
      </c>
      <c r="F39" s="11" t="b">
        <v>0</v>
      </c>
    </row>
    <row r="40" spans="1:7" x14ac:dyDescent="0.25">
      <c r="A40" s="6">
        <v>29</v>
      </c>
      <c r="B40" s="12" t="s">
        <v>194</v>
      </c>
      <c r="C40" s="10" t="s">
        <v>381</v>
      </c>
      <c r="D40" s="10" t="s">
        <v>390</v>
      </c>
      <c r="F40" s="11" t="b">
        <v>0</v>
      </c>
    </row>
    <row r="41" spans="1:7" x14ac:dyDescent="0.25">
      <c r="A41" s="6">
        <v>30</v>
      </c>
      <c r="B41" s="12" t="s">
        <v>194</v>
      </c>
      <c r="C41" s="10" t="s">
        <v>381</v>
      </c>
      <c r="D41" s="10" t="s">
        <v>391</v>
      </c>
      <c r="F41" s="11" t="b">
        <v>0</v>
      </c>
    </row>
    <row r="42" spans="1:7" x14ac:dyDescent="0.25">
      <c r="A42" s="6">
        <v>31</v>
      </c>
      <c r="B42" s="12" t="s">
        <v>194</v>
      </c>
      <c r="C42" s="10" t="s">
        <v>392</v>
      </c>
      <c r="D42" s="10" t="s">
        <v>382</v>
      </c>
      <c r="F42" s="11" t="b">
        <v>1</v>
      </c>
    </row>
    <row r="43" spans="1:7" x14ac:dyDescent="0.25">
      <c r="A43" s="6">
        <v>32</v>
      </c>
      <c r="B43" s="12" t="s">
        <v>194</v>
      </c>
      <c r="C43" s="10" t="s">
        <v>392</v>
      </c>
      <c r="D43" s="10" t="s">
        <v>383</v>
      </c>
      <c r="F43" s="11" t="b">
        <v>1</v>
      </c>
    </row>
    <row r="44" spans="1:7" x14ac:dyDescent="0.25">
      <c r="A44" s="6">
        <v>33</v>
      </c>
      <c r="B44" s="12" t="s">
        <v>194</v>
      </c>
      <c r="C44" s="10" t="s">
        <v>392</v>
      </c>
      <c r="D44" s="10" t="s">
        <v>384</v>
      </c>
      <c r="F44" s="11" t="b">
        <v>1</v>
      </c>
    </row>
    <row r="45" spans="1:7" x14ac:dyDescent="0.25">
      <c r="A45" s="6">
        <v>34</v>
      </c>
      <c r="B45" s="12" t="s">
        <v>194</v>
      </c>
      <c r="C45" s="10" t="s">
        <v>392</v>
      </c>
      <c r="D45" s="10" t="s">
        <v>385</v>
      </c>
      <c r="F45" s="11" t="b">
        <v>1</v>
      </c>
    </row>
    <row r="46" spans="1:7" x14ac:dyDescent="0.25">
      <c r="A46" s="6">
        <v>35</v>
      </c>
      <c r="B46" s="12" t="s">
        <v>194</v>
      </c>
      <c r="C46" s="10" t="s">
        <v>392</v>
      </c>
      <c r="D46" s="10" t="s">
        <v>386</v>
      </c>
      <c r="F46" s="11" t="b">
        <v>1</v>
      </c>
    </row>
    <row r="47" spans="1:7" x14ac:dyDescent="0.25">
      <c r="A47" s="6">
        <v>36</v>
      </c>
      <c r="B47" s="12" t="s">
        <v>194</v>
      </c>
      <c r="C47" s="10" t="s">
        <v>392</v>
      </c>
      <c r="D47" s="10" t="s">
        <v>387</v>
      </c>
      <c r="F47" s="11" t="b">
        <v>1</v>
      </c>
    </row>
    <row r="48" spans="1:7" x14ac:dyDescent="0.25">
      <c r="A48" s="6">
        <v>37</v>
      </c>
      <c r="B48" s="12" t="s">
        <v>194</v>
      </c>
      <c r="C48" s="10" t="s">
        <v>392</v>
      </c>
      <c r="D48" s="10" t="s">
        <v>388</v>
      </c>
      <c r="F48" s="11" t="b">
        <v>1</v>
      </c>
    </row>
    <row r="49" spans="1:6" x14ac:dyDescent="0.25">
      <c r="A49" s="6">
        <v>38</v>
      </c>
      <c r="B49" s="12" t="s">
        <v>194</v>
      </c>
      <c r="C49" s="10" t="s">
        <v>392</v>
      </c>
      <c r="D49" s="10" t="s">
        <v>389</v>
      </c>
      <c r="F49" s="11" t="b">
        <v>0</v>
      </c>
    </row>
    <row r="50" spans="1:6" x14ac:dyDescent="0.25">
      <c r="A50" s="6">
        <v>39</v>
      </c>
      <c r="B50" s="12" t="s">
        <v>194</v>
      </c>
      <c r="C50" s="10" t="s">
        <v>392</v>
      </c>
      <c r="D50" s="10" t="s">
        <v>390</v>
      </c>
      <c r="F50" s="11" t="b">
        <v>1</v>
      </c>
    </row>
    <row r="51" spans="1:6" x14ac:dyDescent="0.25">
      <c r="A51" s="6">
        <v>40</v>
      </c>
      <c r="B51" s="12" t="s">
        <v>194</v>
      </c>
      <c r="C51" s="10" t="s">
        <v>392</v>
      </c>
      <c r="D51" s="10" t="s">
        <v>391</v>
      </c>
      <c r="F51" s="11" t="b">
        <v>1</v>
      </c>
    </row>
  </sheetData>
  <sheetProtection algorithmName="SHA-512" hashValue="ZxF36Ngtw/UJhTzYjTqsZDTNe2eanoW9NLBJgsyAWt9SpUwSiBb/cGIne9hteFTFE29GHUGESWAi5ejhVEeD3g==" saltValue="G1EzqQbk6YGxtwhB4fuHxQ==" spinCount="100000" sheet="1" objects="1" scenarios="1"/>
  <mergeCells count="1">
    <mergeCell ref="C6:D6"/>
  </mergeCells>
  <conditionalFormatting sqref="C8">
    <cfRule type="duplicateValues" dxfId="72" priority="3"/>
  </conditionalFormatting>
  <conditionalFormatting sqref="C7:D7">
    <cfRule type="duplicateValues" dxfId="71" priority="4"/>
  </conditionalFormatting>
  <conditionalFormatting sqref="F7">
    <cfRule type="duplicateValues" dxfId="70" priority="2"/>
  </conditionalFormatting>
  <conditionalFormatting sqref="F8:F10">
    <cfRule type="duplicateValues" dxfId="69" priority="1"/>
  </conditionalFormatting>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DD838-BED8-4F65-B7BC-C6BA7D11FCC3}">
  <sheetPr>
    <tabColor theme="9" tint="-0.499984740745262"/>
  </sheetPr>
  <dimension ref="A1:L19"/>
  <sheetViews>
    <sheetView showGridLines="0" zoomScaleNormal="100" workbookViewId="0">
      <selection activeCell="G25" sqref="G25"/>
    </sheetView>
  </sheetViews>
  <sheetFormatPr defaultRowHeight="15" x14ac:dyDescent="0.25"/>
  <cols>
    <col min="1" max="1" width="6.28515625" bestFit="1" customWidth="1"/>
    <col min="2" max="2" width="48.28515625" customWidth="1"/>
    <col min="3" max="3" width="52.28515625" customWidth="1"/>
    <col min="4" max="9" width="30.28515625" customWidth="1"/>
    <col min="11" max="11" width="24.7109375" bestFit="1" customWidth="1"/>
  </cols>
  <sheetData>
    <row r="1" spans="1:12" ht="17.25" x14ac:dyDescent="0.25">
      <c r="B1" s="2" t="s">
        <v>3</v>
      </c>
      <c r="C1" s="1" t="s">
        <v>106</v>
      </c>
    </row>
    <row r="2" spans="1:12" ht="17.25" x14ac:dyDescent="0.25">
      <c r="B2" s="2" t="s">
        <v>158</v>
      </c>
      <c r="C2" s="1" t="s">
        <v>106</v>
      </c>
    </row>
    <row r="3" spans="1:12" s="47" customFormat="1" ht="17.25" x14ac:dyDescent="0.25">
      <c r="B3" s="48" t="s">
        <v>159</v>
      </c>
      <c r="C3" s="49" t="s">
        <v>199</v>
      </c>
    </row>
    <row r="4" spans="1:12" ht="45" x14ac:dyDescent="0.25">
      <c r="B4" s="2" t="s">
        <v>162</v>
      </c>
      <c r="C4" s="5" t="s">
        <v>107</v>
      </c>
      <c r="D4" s="25"/>
      <c r="E4" s="25"/>
      <c r="F4" s="25"/>
      <c r="G4" s="25"/>
      <c r="H4" s="25"/>
      <c r="I4" s="25"/>
    </row>
    <row r="5" spans="1:12" ht="21" customHeight="1" x14ac:dyDescent="0.25"/>
    <row r="6" spans="1:12" x14ac:dyDescent="0.25">
      <c r="B6" s="286" t="s">
        <v>163</v>
      </c>
      <c r="C6" s="287" t="s">
        <v>164</v>
      </c>
      <c r="D6" s="287" t="s">
        <v>164</v>
      </c>
      <c r="E6" s="287" t="s">
        <v>164</v>
      </c>
      <c r="F6" s="287" t="s">
        <v>164</v>
      </c>
      <c r="G6" s="287" t="s">
        <v>164</v>
      </c>
      <c r="H6" s="287" t="s">
        <v>164</v>
      </c>
      <c r="I6" s="287" t="s">
        <v>164</v>
      </c>
      <c r="K6" s="258" t="s">
        <v>200</v>
      </c>
    </row>
    <row r="7" spans="1:12" x14ac:dyDescent="0.25">
      <c r="B7" s="6" t="s">
        <v>165</v>
      </c>
      <c r="C7" s="246" t="s">
        <v>393</v>
      </c>
      <c r="D7" s="290" t="s">
        <v>222</v>
      </c>
      <c r="E7" s="290" t="s">
        <v>394</v>
      </c>
      <c r="F7" s="290" t="s">
        <v>395</v>
      </c>
      <c r="G7" s="290" t="s">
        <v>396</v>
      </c>
      <c r="H7" s="290" t="s">
        <v>397</v>
      </c>
      <c r="I7" s="291" t="s">
        <v>398</v>
      </c>
      <c r="K7" s="244" t="s">
        <v>399</v>
      </c>
    </row>
    <row r="8" spans="1:12" s="47" customFormat="1" x14ac:dyDescent="0.25">
      <c r="B8" s="51" t="s">
        <v>169</v>
      </c>
      <c r="C8" s="247" t="s">
        <v>400</v>
      </c>
      <c r="D8" s="247"/>
      <c r="E8" s="247"/>
      <c r="F8" s="247"/>
      <c r="G8" s="247"/>
      <c r="H8" s="247" t="s">
        <v>401</v>
      </c>
      <c r="I8" s="247"/>
      <c r="K8" s="247"/>
    </row>
    <row r="9" spans="1:12" s="47" customFormat="1" x14ac:dyDescent="0.25">
      <c r="B9" s="51" t="s">
        <v>171</v>
      </c>
      <c r="C9" s="248"/>
      <c r="D9" s="248" t="s">
        <v>172</v>
      </c>
      <c r="E9" s="248" t="s">
        <v>172</v>
      </c>
      <c r="F9" s="248" t="s">
        <v>172</v>
      </c>
      <c r="G9" s="248" t="s">
        <v>172</v>
      </c>
      <c r="H9" s="248" t="s">
        <v>358</v>
      </c>
      <c r="I9" s="280" t="s">
        <v>172</v>
      </c>
      <c r="K9" s="289" t="s">
        <v>402</v>
      </c>
    </row>
    <row r="10" spans="1:12" x14ac:dyDescent="0.25">
      <c r="B10" s="6" t="s">
        <v>237</v>
      </c>
      <c r="C10" s="250"/>
      <c r="D10" s="250" t="s">
        <v>241</v>
      </c>
      <c r="E10" s="250" t="s">
        <v>403</v>
      </c>
      <c r="F10" s="250" t="s">
        <v>241</v>
      </c>
      <c r="G10" s="250" t="s">
        <v>241</v>
      </c>
      <c r="H10" s="250"/>
      <c r="I10" s="280" t="s">
        <v>175</v>
      </c>
      <c r="K10" s="250"/>
    </row>
    <row r="11" spans="1:12" ht="60" x14ac:dyDescent="0.25">
      <c r="A11" s="6" t="s">
        <v>178</v>
      </c>
      <c r="B11" s="6" t="s">
        <v>301</v>
      </c>
      <c r="C11" s="250" t="s">
        <v>404</v>
      </c>
      <c r="D11" s="288" t="s">
        <v>304</v>
      </c>
      <c r="E11" s="250" t="s">
        <v>240</v>
      </c>
      <c r="F11" s="288" t="s">
        <v>405</v>
      </c>
      <c r="G11" s="288" t="s">
        <v>406</v>
      </c>
      <c r="H11" s="250" t="s">
        <v>322</v>
      </c>
      <c r="I11" s="281" t="s">
        <v>407</v>
      </c>
      <c r="K11" s="250" t="s">
        <v>408</v>
      </c>
    </row>
    <row r="12" spans="1:12" x14ac:dyDescent="0.25">
      <c r="A12" s="6">
        <v>1</v>
      </c>
      <c r="B12" s="6" t="s">
        <v>182</v>
      </c>
      <c r="C12" s="10" t="s">
        <v>409</v>
      </c>
      <c r="D12" s="10"/>
      <c r="E12" s="10"/>
      <c r="F12" s="10"/>
      <c r="G12" s="10"/>
      <c r="H12" s="10"/>
      <c r="I12" s="10"/>
      <c r="K12" s="11" t="b">
        <v>1</v>
      </c>
    </row>
    <row r="13" spans="1:12" x14ac:dyDescent="0.25">
      <c r="A13" s="6">
        <v>1</v>
      </c>
      <c r="B13" s="6" t="s">
        <v>182</v>
      </c>
      <c r="C13" s="10" t="s">
        <v>410</v>
      </c>
      <c r="D13" s="10"/>
      <c r="E13" s="10"/>
      <c r="F13" s="10"/>
      <c r="G13" s="10"/>
      <c r="H13" s="10"/>
      <c r="I13" s="10"/>
      <c r="K13" s="11" t="b">
        <v>0</v>
      </c>
      <c r="L13" t="s">
        <v>411</v>
      </c>
    </row>
    <row r="16" spans="1:12" x14ac:dyDescent="0.25">
      <c r="A16" s="6">
        <v>1</v>
      </c>
      <c r="B16" s="6" t="s">
        <v>412</v>
      </c>
      <c r="C16" s="10"/>
      <c r="D16" s="10"/>
      <c r="E16" s="10"/>
      <c r="F16" s="10"/>
      <c r="G16" s="10"/>
      <c r="H16" s="10" t="s">
        <v>413</v>
      </c>
      <c r="I16" s="10"/>
      <c r="K16" s="11" t="b">
        <v>1</v>
      </c>
    </row>
    <row r="17" spans="1:12" x14ac:dyDescent="0.25">
      <c r="A17" s="6">
        <v>2</v>
      </c>
      <c r="B17" s="6" t="s">
        <v>412</v>
      </c>
      <c r="C17" s="10"/>
      <c r="D17" s="10"/>
      <c r="E17" s="10"/>
      <c r="F17" s="10"/>
      <c r="G17" s="10"/>
      <c r="H17" s="10"/>
      <c r="I17" s="10" t="s">
        <v>414</v>
      </c>
      <c r="K17" s="11" t="b">
        <v>1</v>
      </c>
      <c r="L17" t="s">
        <v>411</v>
      </c>
    </row>
    <row r="18" spans="1:12" ht="15" customHeight="1" x14ac:dyDescent="0.25">
      <c r="A18" s="6">
        <v>3</v>
      </c>
      <c r="B18" s="6" t="s">
        <v>412</v>
      </c>
      <c r="C18" s="10"/>
      <c r="D18" s="10" t="s">
        <v>289</v>
      </c>
      <c r="E18" s="10"/>
      <c r="F18" s="10"/>
      <c r="G18" s="10" t="s">
        <v>415</v>
      </c>
      <c r="H18" s="10"/>
      <c r="I18" s="10"/>
      <c r="K18" s="11" t="b">
        <v>1</v>
      </c>
    </row>
    <row r="19" spans="1:12" ht="15" customHeight="1" x14ac:dyDescent="0.25">
      <c r="A19" s="6">
        <v>4</v>
      </c>
      <c r="B19" s="6" t="s">
        <v>412</v>
      </c>
      <c r="C19" s="10" t="s">
        <v>416</v>
      </c>
      <c r="D19" s="10" t="s">
        <v>308</v>
      </c>
      <c r="E19" s="10"/>
      <c r="F19" s="10"/>
      <c r="G19" s="10"/>
      <c r="H19" s="10"/>
      <c r="I19" s="10"/>
      <c r="K19" s="11" t="b">
        <v>1</v>
      </c>
      <c r="L19" t="s">
        <v>411</v>
      </c>
    </row>
  </sheetData>
  <conditionalFormatting sqref="C7">
    <cfRule type="duplicateValues" dxfId="68" priority="36"/>
  </conditionalFormatting>
  <conditionalFormatting sqref="C10:C11 C8">
    <cfRule type="duplicateValues" dxfId="67" priority="34"/>
  </conditionalFormatting>
  <conditionalFormatting sqref="D7:I7">
    <cfRule type="duplicateValues" dxfId="66" priority="1"/>
  </conditionalFormatting>
  <conditionalFormatting sqref="K7">
    <cfRule type="duplicateValues" dxfId="65" priority="39"/>
  </conditionalFormatting>
  <conditionalFormatting sqref="K8 K10:K11">
    <cfRule type="duplicateValues" dxfId="64" priority="37"/>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BE804-1C07-474D-93AC-E6748E1E6F28}">
  <sheetPr>
    <tabColor theme="9" tint="-0.499984740745262"/>
  </sheetPr>
  <dimension ref="A1:K20"/>
  <sheetViews>
    <sheetView showGridLines="0" zoomScaleNormal="100" workbookViewId="0">
      <selection activeCell="G6" sqref="G6"/>
    </sheetView>
  </sheetViews>
  <sheetFormatPr defaultRowHeight="15" x14ac:dyDescent="0.25"/>
  <cols>
    <col min="1" max="1" width="6.28515625" bestFit="1" customWidth="1"/>
    <col min="2" max="2" width="35.28515625" customWidth="1"/>
    <col min="3" max="3" width="65.28515625" bestFit="1" customWidth="1"/>
    <col min="4" max="4" width="21.5703125" bestFit="1" customWidth="1"/>
    <col min="5" max="5" width="26.42578125" bestFit="1" customWidth="1"/>
    <col min="6" max="6" width="14.5703125" customWidth="1"/>
    <col min="7" max="7" width="19.85546875" customWidth="1"/>
    <col min="8" max="8" width="4.28515625" customWidth="1"/>
    <col min="9" max="9" width="9.5703125" customWidth="1"/>
    <col min="10" max="10" width="16" customWidth="1"/>
    <col min="11" max="11" width="55.5703125" customWidth="1"/>
    <col min="12" max="12" width="9.28515625" bestFit="1" customWidth="1"/>
  </cols>
  <sheetData>
    <row r="1" spans="1:11" ht="17.25" x14ac:dyDescent="0.25">
      <c r="B1" s="2" t="s">
        <v>3</v>
      </c>
      <c r="C1" s="1" t="s">
        <v>28</v>
      </c>
    </row>
    <row r="2" spans="1:11" ht="17.25" x14ac:dyDescent="0.25">
      <c r="B2" s="2" t="s">
        <v>158</v>
      </c>
      <c r="C2" s="1" t="s">
        <v>28</v>
      </c>
    </row>
    <row r="3" spans="1:11" s="47" customFormat="1" ht="17.25" x14ac:dyDescent="0.25">
      <c r="B3" s="48" t="s">
        <v>159</v>
      </c>
      <c r="C3" s="49" t="s">
        <v>299</v>
      </c>
    </row>
    <row r="4" spans="1:11" ht="105" x14ac:dyDescent="0.25">
      <c r="B4" s="2" t="s">
        <v>162</v>
      </c>
      <c r="C4" s="5" t="s">
        <v>64</v>
      </c>
      <c r="D4" s="25"/>
    </row>
    <row r="5" spans="1:11" ht="21" customHeight="1" x14ac:dyDescent="0.25"/>
    <row r="6" spans="1:11" x14ac:dyDescent="0.25">
      <c r="B6" s="6" t="s">
        <v>163</v>
      </c>
      <c r="C6" s="256" t="s">
        <v>164</v>
      </c>
      <c r="D6" s="256" t="s">
        <v>164</v>
      </c>
      <c r="E6" s="256" t="s">
        <v>164</v>
      </c>
      <c r="F6" s="256" t="s">
        <v>164</v>
      </c>
      <c r="G6" s="253" t="s">
        <v>164</v>
      </c>
      <c r="I6" s="256" t="s">
        <v>200</v>
      </c>
      <c r="J6" s="256" t="s">
        <v>200</v>
      </c>
      <c r="K6" s="256" t="s">
        <v>200</v>
      </c>
    </row>
    <row r="7" spans="1:11" s="38" customFormat="1" ht="45" x14ac:dyDescent="0.25">
      <c r="B7" s="21" t="s">
        <v>165</v>
      </c>
      <c r="C7" s="259" t="s">
        <v>417</v>
      </c>
      <c r="D7" s="259" t="s">
        <v>234</v>
      </c>
      <c r="E7" s="259" t="s">
        <v>418</v>
      </c>
      <c r="F7" s="259" t="s">
        <v>354</v>
      </c>
      <c r="G7" s="259" t="s">
        <v>419</v>
      </c>
      <c r="I7" s="260" t="s">
        <v>420</v>
      </c>
      <c r="J7" s="260" t="s">
        <v>421</v>
      </c>
      <c r="K7" s="260" t="s">
        <v>422</v>
      </c>
    </row>
    <row r="8" spans="1:11" s="47" customFormat="1" x14ac:dyDescent="0.25">
      <c r="B8" s="51" t="s">
        <v>169</v>
      </c>
      <c r="C8" s="248"/>
      <c r="D8" s="248"/>
      <c r="E8" s="248"/>
      <c r="F8" s="248"/>
      <c r="G8" s="248"/>
      <c r="I8" s="247"/>
      <c r="J8" s="247"/>
      <c r="K8" s="247"/>
    </row>
    <row r="9" spans="1:11" s="47" customFormat="1" x14ac:dyDescent="0.25">
      <c r="B9" s="51" t="s">
        <v>171</v>
      </c>
      <c r="C9" s="248" t="s">
        <v>423</v>
      </c>
      <c r="D9" s="248" t="s">
        <v>172</v>
      </c>
      <c r="E9" s="248" t="s">
        <v>423</v>
      </c>
      <c r="F9" s="248" t="s">
        <v>423</v>
      </c>
      <c r="G9" s="248"/>
      <c r="I9" s="247"/>
      <c r="J9" s="247" t="s">
        <v>239</v>
      </c>
      <c r="K9" s="247"/>
    </row>
    <row r="10" spans="1:11" x14ac:dyDescent="0.25">
      <c r="B10" s="6" t="s">
        <v>237</v>
      </c>
      <c r="C10" s="249"/>
      <c r="D10" s="249" t="s">
        <v>424</v>
      </c>
      <c r="E10" s="249"/>
      <c r="F10" s="249"/>
      <c r="G10" s="249"/>
      <c r="I10" s="250" t="s">
        <v>175</v>
      </c>
      <c r="J10" s="250"/>
      <c r="K10" s="250"/>
    </row>
    <row r="11" spans="1:11" ht="75" x14ac:dyDescent="0.25">
      <c r="A11" s="6" t="s">
        <v>178</v>
      </c>
      <c r="B11" s="6" t="s">
        <v>301</v>
      </c>
      <c r="C11" s="249" t="s">
        <v>240</v>
      </c>
      <c r="D11" s="276" t="s">
        <v>425</v>
      </c>
      <c r="E11" s="249" t="s">
        <v>240</v>
      </c>
      <c r="F11" s="249" t="s">
        <v>240</v>
      </c>
      <c r="G11" s="249" t="s">
        <v>426</v>
      </c>
      <c r="I11" s="250" t="s">
        <v>427</v>
      </c>
      <c r="J11" s="250" t="s">
        <v>428</v>
      </c>
      <c r="K11" s="250" t="s">
        <v>429</v>
      </c>
    </row>
    <row r="12" spans="1:11" x14ac:dyDescent="0.25">
      <c r="A12" s="6">
        <v>1</v>
      </c>
      <c r="B12" s="6" t="s">
        <v>182</v>
      </c>
      <c r="C12" s="15" t="s">
        <v>430</v>
      </c>
      <c r="D12" s="130"/>
      <c r="E12" s="15"/>
      <c r="F12" s="15"/>
      <c r="G12" s="15"/>
      <c r="I12" s="87" t="b">
        <v>1</v>
      </c>
      <c r="J12" s="87"/>
      <c r="K12" s="15" t="s">
        <v>431</v>
      </c>
    </row>
    <row r="13" spans="1:11" x14ac:dyDescent="0.25">
      <c r="A13" s="6">
        <v>2</v>
      </c>
      <c r="B13" s="6" t="s">
        <v>182</v>
      </c>
      <c r="C13" s="15"/>
      <c r="D13" s="15" t="s">
        <v>432</v>
      </c>
      <c r="E13" s="15" t="s">
        <v>293</v>
      </c>
      <c r="F13" s="15"/>
      <c r="G13" s="15"/>
      <c r="I13" s="87" t="b">
        <v>1</v>
      </c>
      <c r="J13" s="87"/>
      <c r="K13" s="15" t="s">
        <v>433</v>
      </c>
    </row>
    <row r="14" spans="1:11" x14ac:dyDescent="0.25">
      <c r="A14" s="6">
        <v>3</v>
      </c>
      <c r="B14" s="6" t="s">
        <v>182</v>
      </c>
      <c r="C14" s="15"/>
      <c r="D14" s="15" t="s">
        <v>432</v>
      </c>
      <c r="E14" s="15"/>
      <c r="F14" s="15" t="s">
        <v>434</v>
      </c>
      <c r="G14" s="15"/>
      <c r="I14" s="87" t="b">
        <v>1</v>
      </c>
      <c r="J14" s="87"/>
      <c r="K14" s="15" t="s">
        <v>435</v>
      </c>
    </row>
    <row r="15" spans="1:11" x14ac:dyDescent="0.25">
      <c r="A15" s="6">
        <v>4</v>
      </c>
      <c r="B15" s="6" t="s">
        <v>182</v>
      </c>
      <c r="C15" s="15"/>
      <c r="D15" s="15" t="s">
        <v>436</v>
      </c>
      <c r="E15" s="15" t="s">
        <v>430</v>
      </c>
      <c r="F15" s="15"/>
      <c r="G15" s="15"/>
      <c r="I15" s="87" t="b">
        <v>1</v>
      </c>
      <c r="J15" s="87"/>
      <c r="K15" s="15" t="s">
        <v>433</v>
      </c>
    </row>
    <row r="16" spans="1:11" x14ac:dyDescent="0.25">
      <c r="A16" s="6">
        <v>5</v>
      </c>
      <c r="B16" s="6" t="s">
        <v>182</v>
      </c>
      <c r="C16" s="132"/>
      <c r="D16" s="132" t="s">
        <v>436</v>
      </c>
      <c r="E16" s="132" t="s">
        <v>437</v>
      </c>
      <c r="F16" s="132" t="s">
        <v>438</v>
      </c>
      <c r="G16" s="132"/>
      <c r="H16" s="133"/>
      <c r="I16" s="134" t="b">
        <v>1</v>
      </c>
      <c r="J16" s="87"/>
      <c r="K16" s="132" t="s">
        <v>439</v>
      </c>
    </row>
    <row r="17" spans="1:11" x14ac:dyDescent="0.25">
      <c r="A17" s="6">
        <v>6</v>
      </c>
      <c r="B17" s="6" t="s">
        <v>182</v>
      </c>
      <c r="C17" s="15"/>
      <c r="D17" s="15" t="s">
        <v>436</v>
      </c>
      <c r="E17" s="46" t="s">
        <v>440</v>
      </c>
      <c r="F17" s="15" t="s">
        <v>441</v>
      </c>
      <c r="G17" s="15"/>
      <c r="I17" s="87" t="b">
        <v>1</v>
      </c>
      <c r="J17" s="87"/>
      <c r="K17" s="15" t="s">
        <v>442</v>
      </c>
    </row>
    <row r="19" spans="1:11" x14ac:dyDescent="0.25">
      <c r="A19" s="6">
        <v>1</v>
      </c>
      <c r="B19" s="6" t="s">
        <v>443</v>
      </c>
      <c r="C19" s="15"/>
      <c r="D19" s="130"/>
      <c r="E19" s="15"/>
      <c r="F19" s="15"/>
      <c r="G19" s="15"/>
      <c r="I19" s="87" t="b">
        <v>1</v>
      </c>
      <c r="J19" s="87" t="b">
        <v>1</v>
      </c>
      <c r="K19" s="15" t="s">
        <v>444</v>
      </c>
    </row>
    <row r="20" spans="1:11" x14ac:dyDescent="0.25">
      <c r="A20" s="6">
        <v>2</v>
      </c>
      <c r="B20" s="6" t="s">
        <v>443</v>
      </c>
      <c r="C20" s="15"/>
      <c r="D20" s="130" t="s">
        <v>445</v>
      </c>
      <c r="E20" s="15"/>
      <c r="F20" s="15"/>
      <c r="G20" s="15"/>
      <c r="I20" s="87" t="b">
        <v>1</v>
      </c>
      <c r="J20" s="87" t="b">
        <v>0</v>
      </c>
      <c r="K20" s="15" t="s">
        <v>446</v>
      </c>
    </row>
  </sheetData>
  <conditionalFormatting sqref="C7:G7">
    <cfRule type="duplicateValues" dxfId="63" priority="3"/>
  </conditionalFormatting>
  <conditionalFormatting sqref="I7 K7">
    <cfRule type="duplicateValues" dxfId="62" priority="25"/>
  </conditionalFormatting>
  <conditionalFormatting sqref="J7">
    <cfRule type="duplicateValues" dxfId="61" priority="1"/>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887C5-209E-4A98-8EDA-B9A5FDFAD400}">
  <sheetPr>
    <tabColor theme="9" tint="-0.499984740745262"/>
  </sheetPr>
  <dimension ref="A1:M64"/>
  <sheetViews>
    <sheetView showGridLines="0" zoomScale="70" zoomScaleNormal="70" workbookViewId="0">
      <selection activeCell="E36" sqref="E36"/>
    </sheetView>
  </sheetViews>
  <sheetFormatPr defaultRowHeight="15" x14ac:dyDescent="0.25"/>
  <cols>
    <col min="1" max="1" width="3.28515625" bestFit="1" customWidth="1"/>
    <col min="2" max="2" width="24.5703125" bestFit="1" customWidth="1"/>
    <col min="3" max="3" width="41.28515625" bestFit="1" customWidth="1"/>
    <col min="4" max="4" width="21.5703125" bestFit="1" customWidth="1"/>
    <col min="5" max="5" width="17.7109375" bestFit="1" customWidth="1"/>
    <col min="6" max="6" width="20" bestFit="1" customWidth="1"/>
    <col min="7" max="7" width="13.42578125" bestFit="1" customWidth="1"/>
    <col min="8" max="8" width="18.7109375" bestFit="1" customWidth="1"/>
    <col min="9" max="9" width="15.7109375" bestFit="1" customWidth="1"/>
    <col min="11" max="11" width="37.28515625" bestFit="1" customWidth="1"/>
    <col min="12" max="12" width="3.28515625" customWidth="1"/>
    <col min="13" max="13" width="10.28515625" bestFit="1" customWidth="1"/>
    <col min="14" max="14" width="36.5703125" bestFit="1" customWidth="1"/>
  </cols>
  <sheetData>
    <row r="1" spans="1:13" ht="17.25" x14ac:dyDescent="0.25">
      <c r="B1" s="2" t="s">
        <v>3</v>
      </c>
      <c r="C1" s="1" t="s">
        <v>447</v>
      </c>
    </row>
    <row r="2" spans="1:13" ht="17.25" x14ac:dyDescent="0.25">
      <c r="B2" s="2" t="s">
        <v>4</v>
      </c>
      <c r="C2" s="1" t="s">
        <v>448</v>
      </c>
    </row>
    <row r="3" spans="1:13" s="47" customFormat="1" ht="17.25" x14ac:dyDescent="0.25">
      <c r="B3" s="48" t="s">
        <v>159</v>
      </c>
      <c r="C3" s="49" t="s">
        <v>199</v>
      </c>
    </row>
    <row r="4" spans="1:13" ht="45" x14ac:dyDescent="0.25">
      <c r="B4" s="2" t="s">
        <v>162</v>
      </c>
      <c r="C4" s="5" t="s">
        <v>449</v>
      </c>
    </row>
    <row r="5" spans="1:13" ht="21" customHeight="1" x14ac:dyDescent="0.25"/>
    <row r="6" spans="1:13" x14ac:dyDescent="0.25">
      <c r="C6" s="400" t="s">
        <v>378</v>
      </c>
      <c r="D6" s="401"/>
      <c r="E6" s="401"/>
      <c r="F6" s="401"/>
      <c r="G6" s="401"/>
      <c r="H6" s="401"/>
      <c r="I6" s="402"/>
      <c r="K6" s="32" t="s">
        <v>379</v>
      </c>
    </row>
    <row r="7" spans="1:13" x14ac:dyDescent="0.25">
      <c r="B7" s="6" t="s">
        <v>165</v>
      </c>
      <c r="C7" s="4" t="s">
        <v>450</v>
      </c>
      <c r="D7" s="4" t="s">
        <v>451</v>
      </c>
      <c r="E7" s="4" t="s">
        <v>452</v>
      </c>
      <c r="F7" s="4" t="s">
        <v>453</v>
      </c>
      <c r="G7" s="4" t="s">
        <v>454</v>
      </c>
      <c r="H7" s="4" t="s">
        <v>455</v>
      </c>
      <c r="I7" s="4" t="s">
        <v>456</v>
      </c>
      <c r="K7" s="4" t="s">
        <v>427</v>
      </c>
      <c r="M7" s="4" t="s">
        <v>457</v>
      </c>
    </row>
    <row r="8" spans="1:13" s="47" customFormat="1" x14ac:dyDescent="0.25">
      <c r="B8" s="51" t="s">
        <v>169</v>
      </c>
      <c r="C8" s="49"/>
      <c r="D8" s="49"/>
      <c r="E8" s="49"/>
      <c r="F8" s="49"/>
      <c r="G8" s="49"/>
      <c r="H8" s="49"/>
      <c r="I8" s="49"/>
      <c r="K8" s="49"/>
      <c r="M8" s="49"/>
    </row>
    <row r="9" spans="1:13" s="47" customFormat="1" x14ac:dyDescent="0.25">
      <c r="B9" s="51" t="s">
        <v>171</v>
      </c>
      <c r="C9" s="53" t="s">
        <v>236</v>
      </c>
      <c r="D9" s="53" t="s">
        <v>236</v>
      </c>
      <c r="E9" s="53" t="s">
        <v>172</v>
      </c>
      <c r="F9" s="53"/>
      <c r="G9" s="53" t="s">
        <v>172</v>
      </c>
      <c r="H9" s="53" t="s">
        <v>172</v>
      </c>
      <c r="I9" s="53" t="s">
        <v>172</v>
      </c>
      <c r="J9" s="54"/>
      <c r="K9" s="57" t="s">
        <v>172</v>
      </c>
      <c r="M9" s="49"/>
    </row>
    <row r="10" spans="1:13" x14ac:dyDescent="0.25">
      <c r="B10" s="6" t="s">
        <v>174</v>
      </c>
      <c r="C10" s="1" t="s">
        <v>175</v>
      </c>
      <c r="D10" s="1" t="s">
        <v>175</v>
      </c>
      <c r="E10" s="1"/>
      <c r="F10" s="1" t="s">
        <v>175</v>
      </c>
      <c r="G10" s="1"/>
      <c r="H10" s="1"/>
      <c r="I10" s="1"/>
      <c r="K10" s="7" t="s">
        <v>241</v>
      </c>
      <c r="M10" s="1"/>
    </row>
    <row r="11" spans="1:13" ht="45" x14ac:dyDescent="0.25">
      <c r="B11" s="6" t="s">
        <v>458</v>
      </c>
      <c r="C11" s="7" t="s">
        <v>459</v>
      </c>
      <c r="D11" s="7" t="s">
        <v>460</v>
      </c>
      <c r="E11" s="1" t="s">
        <v>240</v>
      </c>
      <c r="F11" s="7" t="s">
        <v>209</v>
      </c>
      <c r="G11" s="1" t="s">
        <v>240</v>
      </c>
      <c r="H11" s="1" t="s">
        <v>240</v>
      </c>
      <c r="I11" s="1" t="s">
        <v>240</v>
      </c>
      <c r="K11" s="7" t="s">
        <v>461</v>
      </c>
      <c r="M11" s="1"/>
    </row>
    <row r="12" spans="1:13" x14ac:dyDescent="0.25">
      <c r="A12" s="6">
        <v>1</v>
      </c>
      <c r="B12" s="6" t="s">
        <v>182</v>
      </c>
      <c r="C12" s="13" t="s">
        <v>462</v>
      </c>
      <c r="D12" s="14"/>
      <c r="E12" s="10"/>
      <c r="F12" s="10"/>
      <c r="G12" s="10"/>
      <c r="H12" s="10"/>
      <c r="I12" s="10"/>
      <c r="K12" s="10" t="s">
        <v>273</v>
      </c>
      <c r="M12" s="14" t="s">
        <v>463</v>
      </c>
    </row>
    <row r="13" spans="1:13" x14ac:dyDescent="0.25">
      <c r="A13" s="6">
        <v>2</v>
      </c>
      <c r="B13" s="6" t="s">
        <v>182</v>
      </c>
      <c r="C13" s="13" t="s">
        <v>464</v>
      </c>
      <c r="D13" s="14">
        <v>16</v>
      </c>
      <c r="E13" s="10"/>
      <c r="F13" s="10"/>
      <c r="G13" s="10"/>
      <c r="H13" s="10"/>
      <c r="I13" s="10"/>
      <c r="K13" s="10" t="s">
        <v>273</v>
      </c>
      <c r="M13" s="14" t="str">
        <f t="shared" ref="M13:M23" si="0">"PUX"&amp;D13</f>
        <v>PUX16</v>
      </c>
    </row>
    <row r="14" spans="1:13" x14ac:dyDescent="0.25">
      <c r="A14" s="6">
        <v>3</v>
      </c>
      <c r="B14" s="6" t="s">
        <v>182</v>
      </c>
      <c r="C14" s="13" t="s">
        <v>464</v>
      </c>
      <c r="D14" s="14">
        <v>17</v>
      </c>
      <c r="E14" s="10"/>
      <c r="F14" s="10"/>
      <c r="G14" s="10"/>
      <c r="H14" s="10"/>
      <c r="I14" s="10"/>
      <c r="K14" s="10" t="s">
        <v>273</v>
      </c>
      <c r="M14" s="14" t="str">
        <f t="shared" si="0"/>
        <v>PUX17</v>
      </c>
    </row>
    <row r="15" spans="1:13" x14ac:dyDescent="0.25">
      <c r="A15" s="6">
        <v>4</v>
      </c>
      <c r="B15" s="6" t="s">
        <v>182</v>
      </c>
      <c r="C15" s="13" t="s">
        <v>464</v>
      </c>
      <c r="D15" s="14">
        <v>23</v>
      </c>
      <c r="E15" s="10"/>
      <c r="F15" s="10"/>
      <c r="G15" s="10"/>
      <c r="H15" s="10"/>
      <c r="I15" s="10"/>
      <c r="K15" s="10" t="s">
        <v>273</v>
      </c>
      <c r="M15" s="14" t="str">
        <f t="shared" si="0"/>
        <v>PUX23</v>
      </c>
    </row>
    <row r="16" spans="1:13" x14ac:dyDescent="0.25">
      <c r="A16" s="6">
        <v>5</v>
      </c>
      <c r="B16" s="6" t="s">
        <v>182</v>
      </c>
      <c r="C16" s="13" t="s">
        <v>464</v>
      </c>
      <c r="D16" s="14">
        <v>24</v>
      </c>
      <c r="E16" s="10"/>
      <c r="F16" s="10"/>
      <c r="G16" s="10"/>
      <c r="H16" s="10"/>
      <c r="I16" s="10"/>
      <c r="K16" s="10" t="s">
        <v>273</v>
      </c>
      <c r="M16" s="14" t="str">
        <f t="shared" si="0"/>
        <v>PUX24</v>
      </c>
    </row>
    <row r="17" spans="1:13" x14ac:dyDescent="0.25">
      <c r="A17" s="6">
        <v>6</v>
      </c>
      <c r="B17" s="6" t="s">
        <v>182</v>
      </c>
      <c r="C17" s="13" t="s">
        <v>464</v>
      </c>
      <c r="D17" s="14">
        <v>46</v>
      </c>
      <c r="E17" s="10"/>
      <c r="F17" s="10"/>
      <c r="G17" s="10"/>
      <c r="H17" s="10"/>
      <c r="I17" s="10"/>
      <c r="K17" s="10" t="s">
        <v>273</v>
      </c>
      <c r="M17" s="14" t="str">
        <f t="shared" si="0"/>
        <v>PUX46</v>
      </c>
    </row>
    <row r="18" spans="1:13" x14ac:dyDescent="0.25">
      <c r="A18" s="6">
        <v>7</v>
      </c>
      <c r="B18" s="6" t="s">
        <v>182</v>
      </c>
      <c r="C18" s="13" t="s">
        <v>464</v>
      </c>
      <c r="D18" s="14">
        <v>47</v>
      </c>
      <c r="E18" s="10"/>
      <c r="F18" s="10"/>
      <c r="G18" s="10"/>
      <c r="H18" s="10"/>
      <c r="I18" s="10"/>
      <c r="K18" s="10" t="s">
        <v>273</v>
      </c>
      <c r="M18" s="14" t="str">
        <f t="shared" si="0"/>
        <v>PUX47</v>
      </c>
    </row>
    <row r="19" spans="1:13" x14ac:dyDescent="0.25">
      <c r="A19" s="6">
        <v>8</v>
      </c>
      <c r="B19" s="6" t="s">
        <v>182</v>
      </c>
      <c r="C19" s="13" t="s">
        <v>464</v>
      </c>
      <c r="D19" s="14">
        <v>50</v>
      </c>
      <c r="E19" s="10"/>
      <c r="F19" s="10"/>
      <c r="G19" s="10"/>
      <c r="H19" s="10"/>
      <c r="I19" s="10"/>
      <c r="K19" s="10" t="s">
        <v>273</v>
      </c>
      <c r="M19" s="14" t="str">
        <f t="shared" si="0"/>
        <v>PUX50</v>
      </c>
    </row>
    <row r="20" spans="1:13" x14ac:dyDescent="0.25">
      <c r="A20" s="6">
        <v>9</v>
      </c>
      <c r="B20" s="6" t="s">
        <v>182</v>
      </c>
      <c r="C20" s="13" t="s">
        <v>464</v>
      </c>
      <c r="D20" s="14">
        <v>79</v>
      </c>
      <c r="E20" s="10"/>
      <c r="F20" s="10"/>
      <c r="G20" s="10"/>
      <c r="H20" s="10"/>
      <c r="I20" s="10"/>
      <c r="K20" s="10" t="s">
        <v>273</v>
      </c>
      <c r="M20" s="14" t="str">
        <f t="shared" si="0"/>
        <v>PUX79</v>
      </c>
    </row>
    <row r="21" spans="1:13" x14ac:dyDescent="0.25">
      <c r="A21" s="6">
        <v>10</v>
      </c>
      <c r="B21" s="6" t="s">
        <v>182</v>
      </c>
      <c r="C21" s="13" t="s">
        <v>464</v>
      </c>
      <c r="D21" s="14">
        <v>81</v>
      </c>
      <c r="E21" s="10"/>
      <c r="F21" s="10"/>
      <c r="G21" s="10"/>
      <c r="H21" s="10"/>
      <c r="I21" s="10"/>
      <c r="K21" s="10" t="s">
        <v>273</v>
      </c>
      <c r="M21" s="14" t="str">
        <f t="shared" si="0"/>
        <v>PUX81</v>
      </c>
    </row>
    <row r="22" spans="1:13" x14ac:dyDescent="0.25">
      <c r="A22" s="6">
        <v>11</v>
      </c>
      <c r="B22" s="6" t="s">
        <v>182</v>
      </c>
      <c r="C22" s="13" t="s">
        <v>464</v>
      </c>
      <c r="D22" s="14">
        <v>86</v>
      </c>
      <c r="E22" s="10"/>
      <c r="F22" s="10"/>
      <c r="G22" s="10"/>
      <c r="H22" s="10"/>
      <c r="I22" s="10"/>
      <c r="K22" s="10" t="s">
        <v>273</v>
      </c>
      <c r="M22" s="14" t="str">
        <f t="shared" si="0"/>
        <v>PUX86</v>
      </c>
    </row>
    <row r="23" spans="1:13" x14ac:dyDescent="0.25">
      <c r="A23" s="6">
        <v>12</v>
      </c>
      <c r="B23" s="6" t="s">
        <v>182</v>
      </c>
      <c r="C23" s="13" t="s">
        <v>464</v>
      </c>
      <c r="D23" s="14">
        <v>95</v>
      </c>
      <c r="E23" s="10"/>
      <c r="F23" s="10"/>
      <c r="G23" s="10"/>
      <c r="H23" s="10"/>
      <c r="I23" s="10"/>
      <c r="K23" s="10" t="s">
        <v>273</v>
      </c>
      <c r="M23" s="14" t="str">
        <f t="shared" si="0"/>
        <v>PUX95</v>
      </c>
    </row>
    <row r="24" spans="1:13" x14ac:dyDescent="0.25">
      <c r="A24" s="6">
        <v>13</v>
      </c>
      <c r="B24" s="6" t="s">
        <v>182</v>
      </c>
      <c r="C24" s="13" t="s">
        <v>465</v>
      </c>
      <c r="D24" s="14">
        <v>77</v>
      </c>
      <c r="E24" s="10"/>
      <c r="F24" s="10" t="s">
        <v>466</v>
      </c>
      <c r="G24" s="10"/>
      <c r="H24" s="10"/>
      <c r="I24" s="10"/>
      <c r="K24" s="10" t="s">
        <v>274</v>
      </c>
      <c r="M24" s="14" t="str">
        <f>"STAT"&amp;D24</f>
        <v>STAT77</v>
      </c>
    </row>
    <row r="25" spans="1:13" x14ac:dyDescent="0.25">
      <c r="A25" s="6">
        <v>14</v>
      </c>
      <c r="B25" s="6" t="s">
        <v>182</v>
      </c>
      <c r="C25" s="13" t="s">
        <v>465</v>
      </c>
      <c r="D25" s="14">
        <v>70</v>
      </c>
      <c r="E25" s="10"/>
      <c r="F25" s="10" t="s">
        <v>466</v>
      </c>
      <c r="G25" s="10"/>
      <c r="H25" s="10"/>
      <c r="I25" s="10"/>
      <c r="K25" s="10" t="s">
        <v>273</v>
      </c>
      <c r="M25" s="14" t="str">
        <f>"STAT"&amp;D25</f>
        <v>STAT70</v>
      </c>
    </row>
    <row r="26" spans="1:13" x14ac:dyDescent="0.25">
      <c r="A26" s="6">
        <v>15</v>
      </c>
      <c r="B26" s="6" t="s">
        <v>182</v>
      </c>
      <c r="C26" s="13">
        <v>10</v>
      </c>
      <c r="D26" s="14"/>
      <c r="E26" s="10"/>
      <c r="F26" s="10" t="s">
        <v>466</v>
      </c>
      <c r="G26" s="10"/>
      <c r="H26" s="10"/>
      <c r="I26" s="10"/>
      <c r="K26" s="10" t="s">
        <v>273</v>
      </c>
      <c r="M26" s="14" t="s">
        <v>467</v>
      </c>
    </row>
    <row r="27" spans="1:13" x14ac:dyDescent="0.25">
      <c r="A27" s="6">
        <v>16</v>
      </c>
      <c r="B27" s="6" t="s">
        <v>182</v>
      </c>
      <c r="C27" s="13">
        <v>13</v>
      </c>
      <c r="D27" s="14"/>
      <c r="E27" s="10"/>
      <c r="F27" s="10" t="s">
        <v>466</v>
      </c>
      <c r="G27" s="10"/>
      <c r="H27" s="10"/>
      <c r="I27" s="10"/>
      <c r="K27" s="10" t="s">
        <v>273</v>
      </c>
      <c r="M27" s="14" t="s">
        <v>468</v>
      </c>
    </row>
    <row r="28" spans="1:13" x14ac:dyDescent="0.25">
      <c r="A28" s="6">
        <v>17</v>
      </c>
      <c r="B28" s="6" t="s">
        <v>182</v>
      </c>
      <c r="C28" s="13">
        <v>22</v>
      </c>
      <c r="D28" s="14"/>
      <c r="E28" s="10"/>
      <c r="F28" s="10" t="s">
        <v>466</v>
      </c>
      <c r="G28" s="10"/>
      <c r="H28" s="10"/>
      <c r="I28" s="10"/>
      <c r="K28" s="10" t="s">
        <v>273</v>
      </c>
      <c r="M28" s="14" t="s">
        <v>469</v>
      </c>
    </row>
    <row r="29" spans="1:13" x14ac:dyDescent="0.25">
      <c r="A29" s="6">
        <v>18</v>
      </c>
      <c r="B29" s="6" t="s">
        <v>182</v>
      </c>
      <c r="C29" s="13">
        <v>24</v>
      </c>
      <c r="D29" s="14"/>
      <c r="E29" s="10"/>
      <c r="F29" s="10" t="s">
        <v>466</v>
      </c>
      <c r="G29" s="10"/>
      <c r="H29" s="10"/>
      <c r="I29" s="10"/>
      <c r="K29" s="10" t="s">
        <v>273</v>
      </c>
      <c r="M29" s="14" t="s">
        <v>470</v>
      </c>
    </row>
    <row r="30" spans="1:13" x14ac:dyDescent="0.25">
      <c r="A30" s="6">
        <v>19</v>
      </c>
      <c r="B30" s="6" t="s">
        <v>182</v>
      </c>
      <c r="C30" s="13">
        <v>12</v>
      </c>
      <c r="D30" s="14"/>
      <c r="E30" s="10"/>
      <c r="F30" s="10"/>
      <c r="G30" s="10" t="s">
        <v>471</v>
      </c>
      <c r="H30" s="10"/>
      <c r="I30" s="10" t="s">
        <v>472</v>
      </c>
      <c r="K30" s="10" t="s">
        <v>275</v>
      </c>
      <c r="M30" s="14" t="s">
        <v>473</v>
      </c>
    </row>
    <row r="31" spans="1:13" x14ac:dyDescent="0.25">
      <c r="A31" s="6">
        <v>20</v>
      </c>
      <c r="B31" s="6" t="s">
        <v>182</v>
      </c>
      <c r="C31" s="13" t="s">
        <v>474</v>
      </c>
      <c r="D31" s="14"/>
      <c r="E31" s="10" t="s">
        <v>475</v>
      </c>
      <c r="F31" s="10"/>
      <c r="G31" s="10"/>
      <c r="H31" s="10"/>
      <c r="I31" s="10"/>
      <c r="K31" s="10" t="s">
        <v>276</v>
      </c>
      <c r="M31" s="14" t="s">
        <v>474</v>
      </c>
    </row>
    <row r="32" spans="1:13" x14ac:dyDescent="0.25">
      <c r="A32" s="6">
        <v>21</v>
      </c>
      <c r="B32" s="6" t="s">
        <v>182</v>
      </c>
      <c r="C32" s="13">
        <v>24</v>
      </c>
      <c r="D32" s="14"/>
      <c r="E32" s="10" t="s">
        <v>475</v>
      </c>
      <c r="F32" s="10"/>
      <c r="G32" s="10"/>
      <c r="H32" s="10"/>
      <c r="I32" s="10"/>
      <c r="K32" s="10" t="s">
        <v>276</v>
      </c>
      <c r="M32" s="14" t="s">
        <v>470</v>
      </c>
    </row>
    <row r="33" spans="1:13" x14ac:dyDescent="0.25">
      <c r="A33" s="6">
        <v>22</v>
      </c>
      <c r="B33" s="6" t="s">
        <v>182</v>
      </c>
      <c r="C33" s="13" t="s">
        <v>465</v>
      </c>
      <c r="D33" s="14">
        <v>71</v>
      </c>
      <c r="E33" s="10" t="s">
        <v>475</v>
      </c>
      <c r="F33" s="10"/>
      <c r="G33" s="10"/>
      <c r="H33" s="10"/>
      <c r="I33" s="10"/>
      <c r="K33" s="10" t="s">
        <v>276</v>
      </c>
      <c r="M33" s="14" t="str">
        <f>"STAT"&amp;D33</f>
        <v>STAT71</v>
      </c>
    </row>
    <row r="34" spans="1:13" x14ac:dyDescent="0.25">
      <c r="A34" s="6">
        <v>23</v>
      </c>
      <c r="B34" s="6" t="s">
        <v>182</v>
      </c>
      <c r="C34" s="13" t="s">
        <v>465</v>
      </c>
      <c r="D34" s="14">
        <v>72</v>
      </c>
      <c r="E34" s="10" t="s">
        <v>475</v>
      </c>
      <c r="F34" s="10"/>
      <c r="G34" s="10"/>
      <c r="H34" s="10"/>
      <c r="I34" s="10"/>
      <c r="K34" s="10" t="s">
        <v>276</v>
      </c>
      <c r="M34" s="14" t="str">
        <f>"STAT"&amp;D34</f>
        <v>STAT72</v>
      </c>
    </row>
    <row r="35" spans="1:13" x14ac:dyDescent="0.25">
      <c r="A35" s="6">
        <v>24</v>
      </c>
      <c r="B35" s="6" t="s">
        <v>182</v>
      </c>
      <c r="C35" s="13" t="s">
        <v>465</v>
      </c>
      <c r="D35" s="14">
        <v>74</v>
      </c>
      <c r="E35" s="10" t="s">
        <v>475</v>
      </c>
      <c r="F35" s="10"/>
      <c r="G35" s="10"/>
      <c r="H35" s="10"/>
      <c r="I35" s="10"/>
      <c r="K35" s="10" t="s">
        <v>276</v>
      </c>
      <c r="M35" s="14" t="str">
        <f>"STAT"&amp;D35</f>
        <v>STAT74</v>
      </c>
    </row>
    <row r="36" spans="1:13" x14ac:dyDescent="0.25">
      <c r="A36" s="6">
        <v>25</v>
      </c>
      <c r="B36" s="6" t="s">
        <v>182</v>
      </c>
      <c r="C36" s="13">
        <v>20</v>
      </c>
      <c r="D36" s="14"/>
      <c r="E36" s="10"/>
      <c r="F36" s="10"/>
      <c r="G36" s="10"/>
      <c r="H36" s="10"/>
      <c r="I36" s="10"/>
      <c r="K36" s="10" t="s">
        <v>277</v>
      </c>
      <c r="M36" s="14" t="s">
        <v>476</v>
      </c>
    </row>
    <row r="37" spans="1:13" x14ac:dyDescent="0.25">
      <c r="A37" s="6">
        <v>26</v>
      </c>
      <c r="B37" s="6" t="s">
        <v>182</v>
      </c>
      <c r="C37" s="13">
        <v>11</v>
      </c>
      <c r="D37" s="14"/>
      <c r="E37" s="10"/>
      <c r="F37" s="10"/>
      <c r="G37" s="10"/>
      <c r="H37" s="10"/>
      <c r="I37" s="10"/>
      <c r="K37" s="10" t="s">
        <v>277</v>
      </c>
      <c r="M37" s="14" t="s">
        <v>477</v>
      </c>
    </row>
    <row r="38" spans="1:13" x14ac:dyDescent="0.25">
      <c r="A38" s="6">
        <v>27</v>
      </c>
      <c r="B38" s="6" t="s">
        <v>182</v>
      </c>
      <c r="C38" s="13" t="s">
        <v>478</v>
      </c>
      <c r="D38" s="14"/>
      <c r="E38" s="10"/>
      <c r="F38" s="10"/>
      <c r="G38" s="10"/>
      <c r="H38" s="10"/>
      <c r="I38" s="10"/>
      <c r="K38" s="10" t="s">
        <v>277</v>
      </c>
      <c r="M38" s="14" t="s">
        <v>479</v>
      </c>
    </row>
    <row r="39" spans="1:13" x14ac:dyDescent="0.25">
      <c r="A39" s="6">
        <v>28</v>
      </c>
      <c r="B39" s="6" t="s">
        <v>194</v>
      </c>
      <c r="C39" s="13" t="s">
        <v>462</v>
      </c>
      <c r="D39" s="14"/>
      <c r="E39" s="10"/>
      <c r="F39" s="10"/>
      <c r="G39" s="10"/>
      <c r="H39" s="10"/>
      <c r="I39" s="10"/>
      <c r="K39" s="10" t="s">
        <v>273</v>
      </c>
      <c r="M39" s="14" t="s">
        <v>463</v>
      </c>
    </row>
    <row r="40" spans="1:13" x14ac:dyDescent="0.25">
      <c r="A40" s="6">
        <v>29</v>
      </c>
      <c r="B40" s="6" t="s">
        <v>194</v>
      </c>
      <c r="C40" s="13" t="s">
        <v>464</v>
      </c>
      <c r="D40" s="14">
        <v>16</v>
      </c>
      <c r="E40" s="10"/>
      <c r="F40" s="10"/>
      <c r="G40" s="10"/>
      <c r="H40" s="10"/>
      <c r="I40" s="10"/>
      <c r="K40" s="10" t="s">
        <v>273</v>
      </c>
      <c r="M40" s="14" t="str">
        <f t="shared" ref="M40:M50" si="1">"PUX"&amp;D40</f>
        <v>PUX16</v>
      </c>
    </row>
    <row r="41" spans="1:13" x14ac:dyDescent="0.25">
      <c r="A41" s="6">
        <v>30</v>
      </c>
      <c r="B41" s="6" t="s">
        <v>194</v>
      </c>
      <c r="C41" s="13" t="s">
        <v>464</v>
      </c>
      <c r="D41" s="14">
        <v>17</v>
      </c>
      <c r="E41" s="10"/>
      <c r="F41" s="10"/>
      <c r="G41" s="10"/>
      <c r="H41" s="10"/>
      <c r="I41" s="10"/>
      <c r="K41" s="10" t="s">
        <v>273</v>
      </c>
      <c r="M41" s="14" t="str">
        <f t="shared" si="1"/>
        <v>PUX17</v>
      </c>
    </row>
    <row r="42" spans="1:13" x14ac:dyDescent="0.25">
      <c r="A42" s="6">
        <v>31</v>
      </c>
      <c r="B42" s="6" t="s">
        <v>194</v>
      </c>
      <c r="C42" s="13" t="s">
        <v>464</v>
      </c>
      <c r="D42" s="14">
        <v>23</v>
      </c>
      <c r="E42" s="10"/>
      <c r="F42" s="10"/>
      <c r="G42" s="10"/>
      <c r="H42" s="10"/>
      <c r="I42" s="10"/>
      <c r="K42" s="10" t="s">
        <v>273</v>
      </c>
      <c r="M42" s="14" t="str">
        <f t="shared" si="1"/>
        <v>PUX23</v>
      </c>
    </row>
    <row r="43" spans="1:13" x14ac:dyDescent="0.25">
      <c r="A43" s="6">
        <v>32</v>
      </c>
      <c r="B43" s="6" t="s">
        <v>194</v>
      </c>
      <c r="C43" s="13" t="s">
        <v>464</v>
      </c>
      <c r="D43" s="14">
        <v>24</v>
      </c>
      <c r="E43" s="10"/>
      <c r="F43" s="10"/>
      <c r="G43" s="10"/>
      <c r="H43" s="10"/>
      <c r="I43" s="10"/>
      <c r="K43" s="10" t="s">
        <v>273</v>
      </c>
      <c r="M43" s="14" t="str">
        <f t="shared" si="1"/>
        <v>PUX24</v>
      </c>
    </row>
    <row r="44" spans="1:13" x14ac:dyDescent="0.25">
      <c r="A44" s="6">
        <v>33</v>
      </c>
      <c r="B44" s="6" t="s">
        <v>194</v>
      </c>
      <c r="C44" s="13" t="s">
        <v>464</v>
      </c>
      <c r="D44" s="14">
        <v>46</v>
      </c>
      <c r="E44" s="10"/>
      <c r="F44" s="10"/>
      <c r="G44" s="10"/>
      <c r="H44" s="10"/>
      <c r="I44" s="10"/>
      <c r="K44" s="10" t="s">
        <v>273</v>
      </c>
      <c r="M44" s="14" t="str">
        <f t="shared" si="1"/>
        <v>PUX46</v>
      </c>
    </row>
    <row r="45" spans="1:13" x14ac:dyDescent="0.25">
      <c r="A45" s="6">
        <v>34</v>
      </c>
      <c r="B45" s="6" t="s">
        <v>194</v>
      </c>
      <c r="C45" s="13" t="s">
        <v>464</v>
      </c>
      <c r="D45" s="14">
        <v>47</v>
      </c>
      <c r="E45" s="10"/>
      <c r="F45" s="10"/>
      <c r="G45" s="10"/>
      <c r="H45" s="10"/>
      <c r="I45" s="10"/>
      <c r="K45" s="10" t="s">
        <v>273</v>
      </c>
      <c r="M45" s="14" t="str">
        <f t="shared" si="1"/>
        <v>PUX47</v>
      </c>
    </row>
    <row r="46" spans="1:13" x14ac:dyDescent="0.25">
      <c r="A46" s="6">
        <v>35</v>
      </c>
      <c r="B46" s="6" t="s">
        <v>194</v>
      </c>
      <c r="C46" s="13" t="s">
        <v>464</v>
      </c>
      <c r="D46" s="14">
        <v>50</v>
      </c>
      <c r="E46" s="10"/>
      <c r="F46" s="10"/>
      <c r="G46" s="10"/>
      <c r="H46" s="10"/>
      <c r="I46" s="10"/>
      <c r="K46" s="10" t="s">
        <v>273</v>
      </c>
      <c r="M46" s="14" t="str">
        <f t="shared" si="1"/>
        <v>PUX50</v>
      </c>
    </row>
    <row r="47" spans="1:13" x14ac:dyDescent="0.25">
      <c r="A47" s="6">
        <v>36</v>
      </c>
      <c r="B47" s="6" t="s">
        <v>194</v>
      </c>
      <c r="C47" s="13" t="s">
        <v>464</v>
      </c>
      <c r="D47" s="14">
        <v>79</v>
      </c>
      <c r="E47" s="10"/>
      <c r="F47" s="10"/>
      <c r="G47" s="10"/>
      <c r="H47" s="10"/>
      <c r="I47" s="10"/>
      <c r="K47" s="10" t="s">
        <v>273</v>
      </c>
      <c r="M47" s="14" t="str">
        <f t="shared" si="1"/>
        <v>PUX79</v>
      </c>
    </row>
    <row r="48" spans="1:13" x14ac:dyDescent="0.25">
      <c r="A48" s="6">
        <v>37</v>
      </c>
      <c r="B48" s="6" t="s">
        <v>194</v>
      </c>
      <c r="C48" s="13" t="s">
        <v>464</v>
      </c>
      <c r="D48" s="14">
        <v>81</v>
      </c>
      <c r="E48" s="10"/>
      <c r="F48" s="10"/>
      <c r="G48" s="10"/>
      <c r="H48" s="10"/>
      <c r="I48" s="10"/>
      <c r="K48" s="10" t="s">
        <v>273</v>
      </c>
      <c r="M48" s="14" t="str">
        <f t="shared" si="1"/>
        <v>PUX81</v>
      </c>
    </row>
    <row r="49" spans="1:13" x14ac:dyDescent="0.25">
      <c r="A49" s="6">
        <v>38</v>
      </c>
      <c r="B49" s="6" t="s">
        <v>194</v>
      </c>
      <c r="C49" s="13" t="s">
        <v>464</v>
      </c>
      <c r="D49" s="14">
        <v>86</v>
      </c>
      <c r="E49" s="10"/>
      <c r="F49" s="10"/>
      <c r="G49" s="10"/>
      <c r="H49" s="10"/>
      <c r="I49" s="10"/>
      <c r="K49" s="10" t="s">
        <v>273</v>
      </c>
      <c r="M49" s="14" t="str">
        <f t="shared" si="1"/>
        <v>PUX86</v>
      </c>
    </row>
    <row r="50" spans="1:13" x14ac:dyDescent="0.25">
      <c r="A50" s="6">
        <v>39</v>
      </c>
      <c r="B50" s="6" t="s">
        <v>194</v>
      </c>
      <c r="C50" s="13" t="s">
        <v>464</v>
      </c>
      <c r="D50" s="14">
        <v>95</v>
      </c>
      <c r="E50" s="10"/>
      <c r="F50" s="10"/>
      <c r="G50" s="10"/>
      <c r="H50" s="10"/>
      <c r="I50" s="10"/>
      <c r="K50" s="10" t="s">
        <v>273</v>
      </c>
      <c r="M50" s="14" t="str">
        <f t="shared" si="1"/>
        <v>PUX95</v>
      </c>
    </row>
    <row r="51" spans="1:13" x14ac:dyDescent="0.25">
      <c r="A51" s="6">
        <v>40</v>
      </c>
      <c r="B51" s="6" t="s">
        <v>194</v>
      </c>
      <c r="C51" s="13" t="s">
        <v>465</v>
      </c>
      <c r="D51" s="14">
        <v>77</v>
      </c>
      <c r="E51" s="10"/>
      <c r="F51" s="10" t="s">
        <v>480</v>
      </c>
      <c r="G51" s="10"/>
      <c r="H51" s="10"/>
      <c r="I51" s="10"/>
      <c r="K51" s="10" t="s">
        <v>274</v>
      </c>
      <c r="M51" s="14" t="str">
        <f>"STAT"&amp;D51</f>
        <v>STAT77</v>
      </c>
    </row>
    <row r="52" spans="1:13" x14ac:dyDescent="0.25">
      <c r="A52" s="6">
        <v>41</v>
      </c>
      <c r="B52" s="6" t="s">
        <v>194</v>
      </c>
      <c r="C52" s="13" t="s">
        <v>465</v>
      </c>
      <c r="D52" s="14">
        <v>70</v>
      </c>
      <c r="E52" s="10"/>
      <c r="F52" s="10" t="s">
        <v>480</v>
      </c>
      <c r="G52" s="10"/>
      <c r="H52" s="10"/>
      <c r="I52" s="10"/>
      <c r="K52" s="10" t="s">
        <v>273</v>
      </c>
      <c r="M52" s="14" t="str">
        <f>"STAT"&amp;D52</f>
        <v>STAT70</v>
      </c>
    </row>
    <row r="53" spans="1:13" x14ac:dyDescent="0.25">
      <c r="A53" s="6">
        <v>42</v>
      </c>
      <c r="B53" s="6" t="s">
        <v>194</v>
      </c>
      <c r="C53" s="13">
        <v>10</v>
      </c>
      <c r="D53" s="14"/>
      <c r="E53" s="10"/>
      <c r="F53" s="10" t="s">
        <v>480</v>
      </c>
      <c r="G53" s="10"/>
      <c r="H53" s="10"/>
      <c r="I53" s="10"/>
      <c r="K53" s="10" t="s">
        <v>273</v>
      </c>
      <c r="M53" s="14" t="s">
        <v>467</v>
      </c>
    </row>
    <row r="54" spans="1:13" x14ac:dyDescent="0.25">
      <c r="A54" s="6">
        <v>43</v>
      </c>
      <c r="B54" s="6" t="s">
        <v>194</v>
      </c>
      <c r="C54" s="13">
        <v>13</v>
      </c>
      <c r="D54" s="14"/>
      <c r="E54" s="10"/>
      <c r="F54" s="10" t="s">
        <v>480</v>
      </c>
      <c r="G54" s="10"/>
      <c r="H54" s="10"/>
      <c r="I54" s="10"/>
      <c r="K54" s="10" t="s">
        <v>273</v>
      </c>
      <c r="M54" s="14" t="s">
        <v>468</v>
      </c>
    </row>
    <row r="55" spans="1:13" x14ac:dyDescent="0.25">
      <c r="A55" s="6">
        <v>44</v>
      </c>
      <c r="B55" s="6" t="s">
        <v>194</v>
      </c>
      <c r="C55" s="13">
        <v>22</v>
      </c>
      <c r="D55" s="14"/>
      <c r="E55" s="10"/>
      <c r="F55" s="10" t="s">
        <v>480</v>
      </c>
      <c r="G55" s="10"/>
      <c r="H55" s="10"/>
      <c r="I55" s="10"/>
      <c r="K55" s="10" t="s">
        <v>273</v>
      </c>
      <c r="M55" s="14" t="s">
        <v>469</v>
      </c>
    </row>
    <row r="56" spans="1:13" x14ac:dyDescent="0.25">
      <c r="A56" s="6">
        <v>45</v>
      </c>
      <c r="B56" s="6" t="s">
        <v>194</v>
      </c>
      <c r="C56" s="13">
        <v>24</v>
      </c>
      <c r="D56" s="14"/>
      <c r="E56" s="10"/>
      <c r="F56" s="10" t="s">
        <v>480</v>
      </c>
      <c r="G56" s="10"/>
      <c r="H56" s="10"/>
      <c r="I56" s="10"/>
      <c r="K56" s="10" t="s">
        <v>273</v>
      </c>
      <c r="M56" s="14" t="s">
        <v>470</v>
      </c>
    </row>
    <row r="57" spans="1:13" x14ac:dyDescent="0.25">
      <c r="A57" s="6">
        <v>46</v>
      </c>
      <c r="B57" s="6" t="s">
        <v>194</v>
      </c>
      <c r="C57" s="13">
        <v>12</v>
      </c>
      <c r="D57" s="14"/>
      <c r="E57" s="10"/>
      <c r="F57" s="10"/>
      <c r="G57" s="10" t="s">
        <v>471</v>
      </c>
      <c r="H57" s="10"/>
      <c r="I57" s="10" t="s">
        <v>481</v>
      </c>
      <c r="K57" s="10" t="s">
        <v>275</v>
      </c>
      <c r="M57" s="14" t="s">
        <v>473</v>
      </c>
    </row>
    <row r="58" spans="1:13" x14ac:dyDescent="0.25">
      <c r="A58" s="6">
        <v>47</v>
      </c>
      <c r="B58" s="6" t="s">
        <v>194</v>
      </c>
      <c r="C58" s="13">
        <v>24</v>
      </c>
      <c r="D58" s="14"/>
      <c r="E58" s="10"/>
      <c r="F58" s="10" t="s">
        <v>482</v>
      </c>
      <c r="G58" s="10"/>
      <c r="H58" s="10"/>
      <c r="I58" s="10"/>
      <c r="K58" s="10" t="s">
        <v>276</v>
      </c>
      <c r="M58" s="14" t="s">
        <v>470</v>
      </c>
    </row>
    <row r="59" spans="1:13" x14ac:dyDescent="0.25">
      <c r="A59" s="6">
        <v>48</v>
      </c>
      <c r="B59" s="6" t="s">
        <v>194</v>
      </c>
      <c r="C59" s="13" t="s">
        <v>465</v>
      </c>
      <c r="D59" s="14">
        <v>71</v>
      </c>
      <c r="E59" s="10"/>
      <c r="F59" s="10" t="s">
        <v>482</v>
      </c>
      <c r="G59" s="10"/>
      <c r="H59" s="10"/>
      <c r="I59" s="10"/>
      <c r="K59" s="10" t="s">
        <v>276</v>
      </c>
      <c r="M59" s="14" t="str">
        <f>"STAT"&amp;D59</f>
        <v>STAT71</v>
      </c>
    </row>
    <row r="60" spans="1:13" x14ac:dyDescent="0.25">
      <c r="A60" s="6">
        <v>49</v>
      </c>
      <c r="B60" s="6" t="s">
        <v>194</v>
      </c>
      <c r="C60" s="13" t="s">
        <v>465</v>
      </c>
      <c r="D60" s="14">
        <v>72</v>
      </c>
      <c r="E60" s="10"/>
      <c r="F60" s="10" t="s">
        <v>482</v>
      </c>
      <c r="G60" s="10"/>
      <c r="H60" s="10"/>
      <c r="I60" s="10"/>
      <c r="K60" s="10" t="s">
        <v>276</v>
      </c>
      <c r="M60" s="14" t="str">
        <f>"STAT"&amp;D60</f>
        <v>STAT72</v>
      </c>
    </row>
    <row r="61" spans="1:13" x14ac:dyDescent="0.25">
      <c r="A61" s="6">
        <v>50</v>
      </c>
      <c r="B61" s="6" t="s">
        <v>194</v>
      </c>
      <c r="C61" s="13" t="s">
        <v>465</v>
      </c>
      <c r="D61" s="14">
        <v>74</v>
      </c>
      <c r="E61" s="10"/>
      <c r="F61" s="10" t="s">
        <v>482</v>
      </c>
      <c r="G61" s="10"/>
      <c r="H61" s="10"/>
      <c r="I61" s="10"/>
      <c r="K61" s="10" t="s">
        <v>276</v>
      </c>
      <c r="M61" s="14" t="str">
        <f>"STAT"&amp;D61</f>
        <v>STAT74</v>
      </c>
    </row>
    <row r="62" spans="1:13" x14ac:dyDescent="0.25">
      <c r="A62" s="6">
        <v>51</v>
      </c>
      <c r="B62" s="6" t="s">
        <v>194</v>
      </c>
      <c r="C62" s="13">
        <v>20</v>
      </c>
      <c r="D62" s="14"/>
      <c r="E62" s="10"/>
      <c r="F62" s="10"/>
      <c r="G62" s="10"/>
      <c r="H62" s="10"/>
      <c r="I62" s="10"/>
      <c r="K62" s="10" t="s">
        <v>277</v>
      </c>
      <c r="M62" s="14" t="s">
        <v>476</v>
      </c>
    </row>
    <row r="63" spans="1:13" x14ac:dyDescent="0.25">
      <c r="A63" s="6">
        <v>52</v>
      </c>
      <c r="B63" s="6" t="s">
        <v>194</v>
      </c>
      <c r="C63" s="13">
        <v>11</v>
      </c>
      <c r="D63" s="14"/>
      <c r="E63" s="10"/>
      <c r="F63" s="10"/>
      <c r="G63" s="10"/>
      <c r="H63" s="10"/>
      <c r="I63" s="10"/>
      <c r="K63" s="10" t="s">
        <v>277</v>
      </c>
      <c r="M63" s="14" t="s">
        <v>477</v>
      </c>
    </row>
    <row r="64" spans="1:13" x14ac:dyDescent="0.25">
      <c r="A64" s="6">
        <v>53</v>
      </c>
      <c r="B64" s="6" t="s">
        <v>194</v>
      </c>
      <c r="C64" s="13" t="s">
        <v>478</v>
      </c>
      <c r="D64" s="14"/>
      <c r="E64" s="10"/>
      <c r="F64" s="10"/>
      <c r="G64" s="10"/>
      <c r="H64" s="10"/>
      <c r="I64" s="10"/>
      <c r="K64" s="10" t="s">
        <v>277</v>
      </c>
      <c r="M64" s="14" t="s">
        <v>479</v>
      </c>
    </row>
  </sheetData>
  <mergeCells count="1">
    <mergeCell ref="C6:I6"/>
  </mergeCells>
  <phoneticPr fontId="6" type="noConversion"/>
  <conditionalFormatting sqref="C7:I7">
    <cfRule type="duplicateValues" dxfId="60" priority="18"/>
  </conditionalFormatting>
  <conditionalFormatting sqref="K7">
    <cfRule type="duplicateValues" dxfId="59" priority="47"/>
  </conditionalFormatting>
  <conditionalFormatting sqref="M7">
    <cfRule type="duplicateValues" dxfId="58" priority="1"/>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CC4F7-61EA-4689-B5C0-3BDB6059CE15}">
  <sheetPr>
    <tabColor theme="9" tint="-0.499984740745262"/>
  </sheetPr>
  <dimension ref="A1:J16"/>
  <sheetViews>
    <sheetView zoomScaleNormal="100" workbookViewId="0">
      <selection activeCell="F12" sqref="F12"/>
    </sheetView>
  </sheetViews>
  <sheetFormatPr defaultRowHeight="15" x14ac:dyDescent="0.25"/>
  <cols>
    <col min="2" max="2" width="24.28515625" customWidth="1"/>
    <col min="3" max="3" width="28.5703125" customWidth="1"/>
    <col min="4" max="4" width="14.28515625" bestFit="1" customWidth="1"/>
    <col min="5" max="5" width="18.42578125" bestFit="1" customWidth="1"/>
    <col min="6" max="6" width="23" bestFit="1" customWidth="1"/>
    <col min="7" max="7" width="37.42578125" customWidth="1"/>
    <col min="8" max="8" width="35.5703125" customWidth="1"/>
    <col min="10" max="10" width="29.7109375" bestFit="1" customWidth="1"/>
  </cols>
  <sheetData>
    <row r="1" spans="1:10" ht="17.25" x14ac:dyDescent="0.25">
      <c r="B1" s="89" t="s">
        <v>3</v>
      </c>
      <c r="C1" s="403" t="s">
        <v>36</v>
      </c>
      <c r="D1" s="403"/>
      <c r="E1" s="403"/>
      <c r="F1" s="403"/>
    </row>
    <row r="2" spans="1:10" ht="17.25" x14ac:dyDescent="0.25">
      <c r="B2" s="89" t="s">
        <v>158</v>
      </c>
      <c r="C2" s="403" t="s">
        <v>37</v>
      </c>
      <c r="D2" s="403"/>
      <c r="E2" s="403"/>
      <c r="F2" s="403"/>
    </row>
    <row r="3" spans="1:10" ht="17.25" x14ac:dyDescent="0.25">
      <c r="B3" s="89" t="s">
        <v>159</v>
      </c>
      <c r="C3" s="404" t="s">
        <v>199</v>
      </c>
      <c r="D3" s="404"/>
      <c r="E3" s="404"/>
      <c r="F3" s="404"/>
    </row>
    <row r="4" spans="1:10" ht="59.25" customHeight="1" x14ac:dyDescent="0.25">
      <c r="B4" s="89" t="s">
        <v>162</v>
      </c>
      <c r="C4" s="403" t="s">
        <v>38</v>
      </c>
      <c r="D4" s="403"/>
      <c r="E4" s="403"/>
      <c r="F4" s="403"/>
    </row>
    <row r="6" spans="1:10" s="62" customFormat="1" x14ac:dyDescent="0.25">
      <c r="A6" s="230"/>
      <c r="B6" s="65" t="s">
        <v>163</v>
      </c>
      <c r="C6" s="283" t="s">
        <v>164</v>
      </c>
      <c r="D6" s="283" t="s">
        <v>164</v>
      </c>
      <c r="E6" s="283" t="s">
        <v>164</v>
      </c>
      <c r="F6" s="283" t="s">
        <v>164</v>
      </c>
      <c r="G6" s="283" t="s">
        <v>164</v>
      </c>
      <c r="H6" s="278" t="s">
        <v>164</v>
      </c>
      <c r="I6" s="230"/>
      <c r="J6" s="278" t="s">
        <v>200</v>
      </c>
    </row>
    <row r="7" spans="1:10" x14ac:dyDescent="0.25">
      <c r="A7" s="91"/>
      <c r="B7" s="93" t="s">
        <v>165</v>
      </c>
      <c r="C7" s="278" t="s">
        <v>222</v>
      </c>
      <c r="D7" s="278" t="s">
        <v>394</v>
      </c>
      <c r="E7" s="278" t="s">
        <v>398</v>
      </c>
      <c r="F7" s="278" t="s">
        <v>483</v>
      </c>
      <c r="G7" s="278" t="s">
        <v>227</v>
      </c>
      <c r="H7" s="278" t="s">
        <v>396</v>
      </c>
      <c r="I7" s="91"/>
      <c r="J7" s="278" t="s">
        <v>484</v>
      </c>
    </row>
    <row r="8" spans="1:10" x14ac:dyDescent="0.25">
      <c r="A8" s="91"/>
      <c r="B8" s="93" t="s">
        <v>169</v>
      </c>
      <c r="C8" s="280"/>
      <c r="D8" s="280"/>
      <c r="E8" s="280"/>
      <c r="F8" s="279" t="s">
        <v>400</v>
      </c>
      <c r="G8" s="280"/>
      <c r="H8" s="280"/>
      <c r="I8" s="91"/>
      <c r="J8" s="279"/>
    </row>
    <row r="9" spans="1:10" x14ac:dyDescent="0.25">
      <c r="A9" s="91"/>
      <c r="B9" s="93" t="s">
        <v>171</v>
      </c>
      <c r="C9" s="280" t="s">
        <v>172</v>
      </c>
      <c r="D9" s="280" t="s">
        <v>172</v>
      </c>
      <c r="E9" s="280" t="s">
        <v>172</v>
      </c>
      <c r="F9" s="280" t="s">
        <v>172</v>
      </c>
      <c r="G9" s="280" t="s">
        <v>172</v>
      </c>
      <c r="H9" s="280" t="s">
        <v>172</v>
      </c>
      <c r="I9" s="91"/>
      <c r="J9" s="276" t="s">
        <v>172</v>
      </c>
    </row>
    <row r="10" spans="1:10" x14ac:dyDescent="0.25">
      <c r="A10" s="91"/>
      <c r="B10" s="93" t="s">
        <v>237</v>
      </c>
      <c r="C10" s="280" t="s">
        <v>241</v>
      </c>
      <c r="D10" s="280" t="s">
        <v>403</v>
      </c>
      <c r="E10" s="280" t="s">
        <v>175</v>
      </c>
      <c r="F10" s="280" t="s">
        <v>485</v>
      </c>
      <c r="G10" s="280" t="s">
        <v>241</v>
      </c>
      <c r="H10" s="280" t="s">
        <v>241</v>
      </c>
      <c r="I10" s="91"/>
      <c r="J10" s="279" t="s">
        <v>403</v>
      </c>
    </row>
    <row r="11" spans="1:10" ht="60" x14ac:dyDescent="0.25">
      <c r="A11" s="93" t="s">
        <v>178</v>
      </c>
      <c r="B11" s="93" t="s">
        <v>301</v>
      </c>
      <c r="C11" s="281" t="s">
        <v>486</v>
      </c>
      <c r="D11" s="279" t="s">
        <v>240</v>
      </c>
      <c r="E11" s="281" t="s">
        <v>407</v>
      </c>
      <c r="F11" s="279" t="s">
        <v>400</v>
      </c>
      <c r="G11" s="281" t="s">
        <v>405</v>
      </c>
      <c r="H11" s="281" t="s">
        <v>406</v>
      </c>
      <c r="I11" s="91"/>
      <c r="J11" s="281" t="s">
        <v>487</v>
      </c>
    </row>
    <row r="12" spans="1:10" ht="30" x14ac:dyDescent="0.25">
      <c r="A12" s="93">
        <v>1</v>
      </c>
      <c r="B12" s="93" t="s">
        <v>182</v>
      </c>
      <c r="C12" s="96"/>
      <c r="D12" s="96"/>
      <c r="E12" s="96" t="s">
        <v>488</v>
      </c>
      <c r="F12" s="96"/>
      <c r="G12" s="96"/>
      <c r="H12" s="96"/>
      <c r="I12" s="91"/>
      <c r="J12" s="97" t="b">
        <v>1</v>
      </c>
    </row>
    <row r="13" spans="1:10" ht="30" x14ac:dyDescent="0.25">
      <c r="A13" s="93">
        <v>2</v>
      </c>
      <c r="B13" s="93" t="s">
        <v>182</v>
      </c>
      <c r="C13" s="96" t="s">
        <v>289</v>
      </c>
      <c r="D13" s="96"/>
      <c r="E13" s="96"/>
      <c r="F13" s="96"/>
      <c r="G13" s="96"/>
      <c r="H13" s="15" t="s">
        <v>415</v>
      </c>
      <c r="I13" s="91"/>
      <c r="J13" s="97" t="b">
        <v>1</v>
      </c>
    </row>
    <row r="14" spans="1:10" ht="30" x14ac:dyDescent="0.25">
      <c r="A14" s="93">
        <v>3</v>
      </c>
      <c r="B14" s="93" t="s">
        <v>182</v>
      </c>
      <c r="C14" s="96" t="s">
        <v>308</v>
      </c>
      <c r="D14" s="96"/>
      <c r="E14" s="96"/>
      <c r="F14" s="96"/>
      <c r="G14" s="96"/>
      <c r="H14" s="15" t="s">
        <v>415</v>
      </c>
      <c r="I14" s="91"/>
      <c r="J14" s="97" t="b">
        <v>1</v>
      </c>
    </row>
    <row r="15" spans="1:10" ht="30" x14ac:dyDescent="0.25">
      <c r="A15" s="93">
        <v>4</v>
      </c>
      <c r="B15" s="93" t="s">
        <v>182</v>
      </c>
      <c r="C15" s="96" t="s">
        <v>308</v>
      </c>
      <c r="D15" s="96"/>
      <c r="E15" s="96"/>
      <c r="F15" s="96" t="s">
        <v>416</v>
      </c>
      <c r="G15" s="96"/>
      <c r="H15" s="96"/>
      <c r="I15" s="91"/>
      <c r="J15" s="97" t="b">
        <v>1</v>
      </c>
    </row>
    <row r="16" spans="1:10" ht="30" x14ac:dyDescent="0.25">
      <c r="A16" s="93">
        <v>5</v>
      </c>
      <c r="B16" s="93" t="s">
        <v>182</v>
      </c>
      <c r="C16" s="96" t="s">
        <v>311</v>
      </c>
      <c r="D16" s="96"/>
      <c r="E16" s="96"/>
      <c r="F16" s="96"/>
      <c r="G16" s="96"/>
      <c r="H16" s="15" t="s">
        <v>415</v>
      </c>
      <c r="I16" s="91"/>
      <c r="J16" s="97" t="b">
        <v>1</v>
      </c>
    </row>
  </sheetData>
  <mergeCells count="4">
    <mergeCell ref="C4:F4"/>
    <mergeCell ref="C1:F1"/>
    <mergeCell ref="C2:F2"/>
    <mergeCell ref="C3:F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8DB38E-9B81-4293-84AA-870C2E2A0B0D}">
  <sheetPr>
    <tabColor theme="9" tint="-0.499984740745262"/>
  </sheetPr>
  <dimension ref="A1:Q74"/>
  <sheetViews>
    <sheetView showGridLines="0" topLeftCell="A44" zoomScale="90" zoomScaleNormal="90" workbookViewId="0">
      <selection activeCell="J62" sqref="J62"/>
    </sheetView>
  </sheetViews>
  <sheetFormatPr defaultColWidth="33.42578125" defaultRowHeight="15" x14ac:dyDescent="0.25"/>
  <cols>
    <col min="1" max="1" width="6.28515625" bestFit="1" customWidth="1"/>
    <col min="3" max="3" width="33.7109375" customWidth="1"/>
    <col min="4" max="4" width="19" customWidth="1"/>
    <col min="5" max="5" width="24.5703125" customWidth="1"/>
    <col min="6" max="6" width="27.7109375" customWidth="1"/>
    <col min="7" max="7" width="26.28515625" bestFit="1" customWidth="1"/>
    <col min="8" max="8" width="10.7109375" customWidth="1"/>
    <col min="9" max="9" width="14.5703125" customWidth="1"/>
    <col min="10" max="10" width="21.28515625" customWidth="1"/>
    <col min="11" max="11" width="28.5703125" customWidth="1"/>
    <col min="12" max="12" width="32.28515625" customWidth="1"/>
    <col min="13" max="13" width="17" customWidth="1"/>
    <col min="14" max="14" width="8.7109375" customWidth="1"/>
    <col min="15" max="15" width="74.28515625" customWidth="1"/>
    <col min="16" max="16" width="10.28515625" customWidth="1"/>
  </cols>
  <sheetData>
    <row r="1" spans="1:15" ht="17.25" x14ac:dyDescent="0.25">
      <c r="B1" s="2" t="s">
        <v>3</v>
      </c>
      <c r="C1" s="1" t="s">
        <v>50</v>
      </c>
    </row>
    <row r="2" spans="1:15" ht="17.25" x14ac:dyDescent="0.25">
      <c r="B2" s="2" t="s">
        <v>158</v>
      </c>
      <c r="C2" s="1" t="s">
        <v>50</v>
      </c>
    </row>
    <row r="3" spans="1:15" s="47" customFormat="1" ht="17.25" x14ac:dyDescent="0.25">
      <c r="B3" s="48" t="s">
        <v>159</v>
      </c>
      <c r="C3" s="49" t="s">
        <v>199</v>
      </c>
    </row>
    <row r="4" spans="1:15" ht="64.5" customHeight="1" x14ac:dyDescent="0.25">
      <c r="B4" s="2" t="s">
        <v>162</v>
      </c>
      <c r="C4" s="5" t="s">
        <v>51</v>
      </c>
      <c r="D4" s="25"/>
      <c r="E4" s="25"/>
      <c r="F4" s="25"/>
      <c r="G4" s="25"/>
      <c r="M4" s="38"/>
    </row>
    <row r="5" spans="1:15" ht="18.75" customHeight="1" x14ac:dyDescent="0.25"/>
    <row r="6" spans="1:15" x14ac:dyDescent="0.25">
      <c r="B6" s="6" t="s">
        <v>163</v>
      </c>
      <c r="C6" s="298" t="s">
        <v>164</v>
      </c>
      <c r="D6" s="298" t="s">
        <v>164</v>
      </c>
      <c r="E6" s="298" t="s">
        <v>164</v>
      </c>
      <c r="F6" s="298" t="s">
        <v>164</v>
      </c>
      <c r="G6" s="298" t="s">
        <v>164</v>
      </c>
      <c r="I6" s="298" t="s">
        <v>200</v>
      </c>
      <c r="J6" s="298" t="s">
        <v>200</v>
      </c>
      <c r="K6" s="298" t="s">
        <v>200</v>
      </c>
      <c r="L6" s="298" t="s">
        <v>200</v>
      </c>
      <c r="M6" s="298" t="s">
        <v>200</v>
      </c>
      <c r="O6" s="71" t="s">
        <v>489</v>
      </c>
    </row>
    <row r="7" spans="1:15" ht="31.5" customHeight="1" x14ac:dyDescent="0.25">
      <c r="B7" s="6" t="s">
        <v>165</v>
      </c>
      <c r="C7" s="290" t="s">
        <v>167</v>
      </c>
      <c r="D7" s="290" t="s">
        <v>222</v>
      </c>
      <c r="E7" s="290" t="s">
        <v>223</v>
      </c>
      <c r="F7" s="290" t="s">
        <v>229</v>
      </c>
      <c r="G7" s="290" t="s">
        <v>398</v>
      </c>
      <c r="I7" s="290" t="s">
        <v>490</v>
      </c>
      <c r="J7" s="290" t="s">
        <v>491</v>
      </c>
      <c r="K7" s="290" t="s">
        <v>167</v>
      </c>
      <c r="L7" s="290" t="s">
        <v>492</v>
      </c>
      <c r="M7" s="261" t="s">
        <v>493</v>
      </c>
      <c r="O7" s="103"/>
    </row>
    <row r="8" spans="1:15" s="47" customFormat="1" x14ac:dyDescent="0.25">
      <c r="B8" s="51" t="s">
        <v>169</v>
      </c>
      <c r="C8" s="293"/>
      <c r="D8" s="293"/>
      <c r="E8" s="293"/>
      <c r="F8" s="293"/>
      <c r="G8" s="293"/>
      <c r="I8" s="293"/>
      <c r="J8" s="293"/>
      <c r="K8" s="293"/>
      <c r="L8" s="293"/>
      <c r="M8" s="293"/>
      <c r="O8" s="103"/>
    </row>
    <row r="9" spans="1:15" s="47" customFormat="1" x14ac:dyDescent="0.25">
      <c r="B9" s="51" t="s">
        <v>171</v>
      </c>
      <c r="C9" s="254" t="s">
        <v>172</v>
      </c>
      <c r="D9" s="254"/>
      <c r="E9" s="254" t="s">
        <v>320</v>
      </c>
      <c r="F9" s="254" t="s">
        <v>172</v>
      </c>
      <c r="G9" s="254"/>
      <c r="I9" s="295" t="s">
        <v>494</v>
      </c>
      <c r="J9" s="295"/>
      <c r="K9" s="295"/>
      <c r="L9" s="295"/>
      <c r="M9" s="295"/>
      <c r="O9" s="103"/>
    </row>
    <row r="10" spans="1:15" x14ac:dyDescent="0.25">
      <c r="B10" s="6" t="s">
        <v>237</v>
      </c>
      <c r="C10" s="294" t="s">
        <v>241</v>
      </c>
      <c r="D10" s="294" t="s">
        <v>241</v>
      </c>
      <c r="E10" s="294" t="s">
        <v>241</v>
      </c>
      <c r="F10" s="294" t="s">
        <v>242</v>
      </c>
      <c r="G10" s="294" t="s">
        <v>175</v>
      </c>
      <c r="I10" s="294" t="s">
        <v>402</v>
      </c>
      <c r="J10" s="294"/>
      <c r="K10" s="294"/>
      <c r="L10" s="294"/>
      <c r="M10" s="294"/>
      <c r="O10" s="103"/>
    </row>
    <row r="11" spans="1:15" ht="90" x14ac:dyDescent="0.25">
      <c r="A11" s="6" t="s">
        <v>178</v>
      </c>
      <c r="B11" s="6" t="s">
        <v>301</v>
      </c>
      <c r="C11" s="255" t="s">
        <v>495</v>
      </c>
      <c r="D11" s="255" t="s">
        <v>496</v>
      </c>
      <c r="E11" s="255" t="s">
        <v>497</v>
      </c>
      <c r="F11" s="255" t="s">
        <v>498</v>
      </c>
      <c r="G11" s="267" t="s">
        <v>499</v>
      </c>
      <c r="I11" s="294" t="s">
        <v>500</v>
      </c>
      <c r="J11" s="296" t="s">
        <v>501</v>
      </c>
      <c r="K11" s="294"/>
      <c r="L11" s="294" t="s">
        <v>240</v>
      </c>
      <c r="M11" s="299" t="s">
        <v>502</v>
      </c>
      <c r="O11" s="103"/>
    </row>
    <row r="12" spans="1:15" x14ac:dyDescent="0.25">
      <c r="A12" s="6">
        <v>1</v>
      </c>
      <c r="B12" s="123" t="s">
        <v>182</v>
      </c>
      <c r="C12" s="182" t="s">
        <v>503</v>
      </c>
      <c r="D12" s="182" t="s">
        <v>308</v>
      </c>
      <c r="E12" s="183" t="s">
        <v>297</v>
      </c>
      <c r="F12" s="183"/>
      <c r="G12" s="183" t="s">
        <v>504</v>
      </c>
      <c r="H12" s="184"/>
      <c r="I12" s="185" t="b">
        <v>1</v>
      </c>
      <c r="J12" s="182" t="s">
        <v>505</v>
      </c>
      <c r="K12" s="182" t="s">
        <v>506</v>
      </c>
      <c r="L12" s="182" t="s">
        <v>507</v>
      </c>
      <c r="M12" s="182" t="s">
        <v>508</v>
      </c>
      <c r="N12" s="72"/>
      <c r="O12" s="124" t="s">
        <v>504</v>
      </c>
    </row>
    <row r="13" spans="1:15" x14ac:dyDescent="0.25">
      <c r="A13" s="6">
        <v>2</v>
      </c>
      <c r="B13" s="140" t="s">
        <v>182</v>
      </c>
      <c r="C13" s="369" t="s">
        <v>503</v>
      </c>
      <c r="D13" s="369" t="s">
        <v>308</v>
      </c>
      <c r="E13" s="388" t="s">
        <v>509</v>
      </c>
      <c r="F13" s="388"/>
      <c r="G13" s="388" t="s">
        <v>504</v>
      </c>
      <c r="H13" s="389"/>
      <c r="I13" s="390" t="b">
        <v>0</v>
      </c>
      <c r="J13" s="369"/>
      <c r="K13" s="369"/>
      <c r="L13" s="369"/>
      <c r="M13" s="369"/>
      <c r="N13" s="389"/>
      <c r="O13" s="391" t="s">
        <v>510</v>
      </c>
    </row>
    <row r="14" spans="1:15" x14ac:dyDescent="0.25">
      <c r="A14" s="6">
        <v>3</v>
      </c>
      <c r="B14" s="140" t="s">
        <v>182</v>
      </c>
      <c r="C14" s="369" t="s">
        <v>503</v>
      </c>
      <c r="D14" s="369" t="s">
        <v>308</v>
      </c>
      <c r="E14" s="388" t="s">
        <v>511</v>
      </c>
      <c r="F14" s="388"/>
      <c r="G14" s="388" t="s">
        <v>504</v>
      </c>
      <c r="H14" s="389"/>
      <c r="I14" s="390" t="b">
        <v>0</v>
      </c>
      <c r="J14" s="369"/>
      <c r="K14" s="369"/>
      <c r="L14" s="369"/>
      <c r="M14" s="369"/>
      <c r="N14" s="389"/>
      <c r="O14" s="391" t="s">
        <v>510</v>
      </c>
    </row>
    <row r="15" spans="1:15" x14ac:dyDescent="0.25">
      <c r="A15" s="6">
        <v>4</v>
      </c>
      <c r="B15" s="140" t="s">
        <v>182</v>
      </c>
      <c r="C15" s="369" t="s">
        <v>503</v>
      </c>
      <c r="D15" s="369" t="s">
        <v>308</v>
      </c>
      <c r="E15" s="388" t="s">
        <v>296</v>
      </c>
      <c r="F15" s="388"/>
      <c r="G15" s="388" t="s">
        <v>504</v>
      </c>
      <c r="H15" s="389"/>
      <c r="I15" s="390" t="b">
        <v>0</v>
      </c>
      <c r="J15" s="369"/>
      <c r="K15" s="369"/>
      <c r="L15" s="369"/>
      <c r="M15" s="369"/>
      <c r="N15" s="389"/>
      <c r="O15" s="391" t="s">
        <v>510</v>
      </c>
    </row>
    <row r="16" spans="1:15" x14ac:dyDescent="0.25">
      <c r="A16" s="6">
        <v>5</v>
      </c>
      <c r="B16" s="123" t="s">
        <v>182</v>
      </c>
      <c r="C16" s="182" t="s">
        <v>506</v>
      </c>
      <c r="D16" s="182" t="s">
        <v>308</v>
      </c>
      <c r="E16" s="183"/>
      <c r="F16" s="183"/>
      <c r="G16" s="183" t="s">
        <v>512</v>
      </c>
      <c r="H16" s="184"/>
      <c r="I16" s="185" t="b">
        <v>1</v>
      </c>
      <c r="J16" s="182" t="s">
        <v>513</v>
      </c>
      <c r="K16" s="182" t="s">
        <v>514</v>
      </c>
      <c r="L16" s="182" t="s">
        <v>515</v>
      </c>
      <c r="M16" s="104" t="s">
        <v>504</v>
      </c>
      <c r="N16" s="72"/>
      <c r="O16" s="124" t="s">
        <v>504</v>
      </c>
    </row>
    <row r="17" spans="1:17" x14ac:dyDescent="0.25">
      <c r="A17" s="6">
        <v>6</v>
      </c>
      <c r="B17" s="123" t="s">
        <v>182</v>
      </c>
      <c r="C17" s="182" t="s">
        <v>516</v>
      </c>
      <c r="D17" s="182" t="s">
        <v>308</v>
      </c>
      <c r="E17" s="183" t="s">
        <v>297</v>
      </c>
      <c r="F17" s="183"/>
      <c r="G17" s="183" t="s">
        <v>512</v>
      </c>
      <c r="H17" s="184"/>
      <c r="I17" s="185" t="b">
        <v>1</v>
      </c>
      <c r="J17" s="182" t="s">
        <v>513</v>
      </c>
      <c r="K17" s="182" t="s">
        <v>514</v>
      </c>
      <c r="L17" s="182" t="s">
        <v>515</v>
      </c>
      <c r="M17" s="104" t="s">
        <v>504</v>
      </c>
      <c r="N17" s="72"/>
      <c r="O17" s="124" t="s">
        <v>504</v>
      </c>
    </row>
    <row r="18" spans="1:17" x14ac:dyDescent="0.25">
      <c r="A18" s="6">
        <v>7</v>
      </c>
      <c r="B18" s="123" t="s">
        <v>182</v>
      </c>
      <c r="C18" s="182" t="s">
        <v>189</v>
      </c>
      <c r="D18" s="182" t="s">
        <v>308</v>
      </c>
      <c r="E18" s="183" t="s">
        <v>297</v>
      </c>
      <c r="F18" s="183"/>
      <c r="G18" s="183" t="s">
        <v>512</v>
      </c>
      <c r="H18" s="184"/>
      <c r="I18" s="185" t="b">
        <v>1</v>
      </c>
      <c r="J18" s="182" t="s">
        <v>513</v>
      </c>
      <c r="K18" s="182" t="s">
        <v>514</v>
      </c>
      <c r="L18" s="182" t="s">
        <v>515</v>
      </c>
      <c r="M18" s="104" t="s">
        <v>504</v>
      </c>
      <c r="N18" s="72"/>
      <c r="O18" s="124" t="s">
        <v>504</v>
      </c>
    </row>
    <row r="19" spans="1:17" x14ac:dyDescent="0.25">
      <c r="A19" s="6">
        <v>8</v>
      </c>
      <c r="B19" s="140" t="s">
        <v>182</v>
      </c>
      <c r="C19" s="182" t="s">
        <v>517</v>
      </c>
      <c r="D19" s="182" t="s">
        <v>308</v>
      </c>
      <c r="E19" s="183" t="s">
        <v>297</v>
      </c>
      <c r="F19" s="183"/>
      <c r="G19" s="183" t="s">
        <v>504</v>
      </c>
      <c r="H19" s="184"/>
      <c r="I19" s="185" t="b">
        <v>1</v>
      </c>
      <c r="J19" s="182" t="s">
        <v>505</v>
      </c>
      <c r="K19" s="182" t="s">
        <v>506</v>
      </c>
      <c r="L19" s="182" t="s">
        <v>507</v>
      </c>
      <c r="M19" s="104" t="s">
        <v>508</v>
      </c>
      <c r="N19" s="72"/>
      <c r="O19" s="124" t="s">
        <v>504</v>
      </c>
    </row>
    <row r="23" spans="1:17" x14ac:dyDescent="0.25">
      <c r="A23" s="107"/>
      <c r="B23" s="375"/>
      <c r="C23" s="121"/>
      <c r="D23" s="121"/>
      <c r="E23" s="376"/>
      <c r="F23" s="376"/>
      <c r="G23" s="376"/>
      <c r="H23" s="72"/>
      <c r="I23" s="120"/>
      <c r="J23" s="121"/>
      <c r="K23" s="121"/>
      <c r="L23" s="121"/>
      <c r="M23" s="121"/>
      <c r="N23" s="72"/>
      <c r="O23" s="120"/>
    </row>
    <row r="24" spans="1:17" x14ac:dyDescent="0.25">
      <c r="A24" s="107"/>
      <c r="B24" s="377"/>
      <c r="C24" s="72"/>
      <c r="D24" s="72"/>
      <c r="E24" s="378"/>
      <c r="F24" s="378"/>
      <c r="G24" s="378"/>
      <c r="H24" s="72"/>
      <c r="I24" s="72"/>
      <c r="J24" s="72"/>
      <c r="K24" s="72"/>
      <c r="L24" s="72"/>
      <c r="M24" s="72"/>
      <c r="N24" s="72"/>
      <c r="O24" s="72"/>
    </row>
    <row r="25" spans="1:17" x14ac:dyDescent="0.25">
      <c r="A25" s="392"/>
      <c r="B25" s="405" t="s">
        <v>518</v>
      </c>
      <c r="C25" s="406"/>
      <c r="D25" s="406"/>
      <c r="E25" s="407"/>
      <c r="F25" s="407"/>
      <c r="G25" s="407"/>
      <c r="H25" s="408"/>
      <c r="I25" s="406"/>
      <c r="J25" s="406"/>
      <c r="K25" s="406"/>
      <c r="L25" s="406"/>
      <c r="M25" s="406"/>
      <c r="N25" s="408"/>
      <c r="O25" s="406"/>
      <c r="P25" s="409"/>
      <c r="Q25" s="72"/>
    </row>
    <row r="26" spans="1:17" ht="30" x14ac:dyDescent="0.25">
      <c r="A26" s="6">
        <v>9</v>
      </c>
      <c r="B26" s="186" t="s">
        <v>182</v>
      </c>
      <c r="C26" s="183" t="s">
        <v>514</v>
      </c>
      <c r="D26" s="183" t="s">
        <v>270</v>
      </c>
      <c r="E26" s="183" t="s">
        <v>504</v>
      </c>
      <c r="F26" s="189"/>
      <c r="G26" s="189" t="s">
        <v>519</v>
      </c>
      <c r="H26" s="184"/>
      <c r="I26" s="190" t="b">
        <v>1</v>
      </c>
      <c r="J26" s="188" t="s">
        <v>520</v>
      </c>
      <c r="K26" s="187" t="s">
        <v>521</v>
      </c>
      <c r="L26" s="188" t="s">
        <v>519</v>
      </c>
      <c r="M26" s="131" t="s">
        <v>504</v>
      </c>
      <c r="N26" s="72"/>
      <c r="O26" s="124" t="s">
        <v>504</v>
      </c>
    </row>
    <row r="27" spans="1:17" ht="30" x14ac:dyDescent="0.25">
      <c r="A27" s="6">
        <v>10</v>
      </c>
      <c r="B27" s="186" t="s">
        <v>182</v>
      </c>
      <c r="C27" s="183" t="s">
        <v>189</v>
      </c>
      <c r="D27" s="183" t="s">
        <v>270</v>
      </c>
      <c r="E27" s="183" t="s">
        <v>297</v>
      </c>
      <c r="F27" s="189"/>
      <c r="G27" s="189" t="s">
        <v>519</v>
      </c>
      <c r="H27" s="184"/>
      <c r="I27" s="190" t="b">
        <v>1</v>
      </c>
      <c r="J27" s="188" t="s">
        <v>520</v>
      </c>
      <c r="K27" s="187" t="s">
        <v>521</v>
      </c>
      <c r="L27" s="188" t="s">
        <v>519</v>
      </c>
      <c r="M27" s="131" t="s">
        <v>504</v>
      </c>
      <c r="N27" s="72"/>
      <c r="O27" s="124" t="s">
        <v>504</v>
      </c>
    </row>
    <row r="28" spans="1:17" ht="30" x14ac:dyDescent="0.25">
      <c r="A28" s="6">
        <v>11</v>
      </c>
      <c r="B28" s="123" t="s">
        <v>182</v>
      </c>
      <c r="C28" s="183" t="s">
        <v>514</v>
      </c>
      <c r="D28" s="183" t="s">
        <v>270</v>
      </c>
      <c r="E28" s="183" t="s">
        <v>504</v>
      </c>
      <c r="F28" s="183"/>
      <c r="G28" s="183" t="s">
        <v>522</v>
      </c>
      <c r="H28" s="184"/>
      <c r="I28" s="185" t="b">
        <v>1</v>
      </c>
      <c r="J28" s="182" t="s">
        <v>523</v>
      </c>
      <c r="K28" s="187" t="s">
        <v>521</v>
      </c>
      <c r="L28" s="182" t="s">
        <v>524</v>
      </c>
      <c r="M28" s="104" t="s">
        <v>504</v>
      </c>
      <c r="N28" s="72"/>
      <c r="O28" s="124" t="s">
        <v>504</v>
      </c>
    </row>
    <row r="29" spans="1:17" ht="30" x14ac:dyDescent="0.25">
      <c r="A29" s="6">
        <v>12</v>
      </c>
      <c r="B29" s="123" t="s">
        <v>182</v>
      </c>
      <c r="C29" s="183" t="s">
        <v>514</v>
      </c>
      <c r="D29" s="183" t="s">
        <v>270</v>
      </c>
      <c r="E29" s="183" t="s">
        <v>504</v>
      </c>
      <c r="F29" s="183"/>
      <c r="G29" s="183" t="s">
        <v>525</v>
      </c>
      <c r="H29" s="184"/>
      <c r="I29" s="185" t="b">
        <v>1</v>
      </c>
      <c r="J29" s="182" t="s">
        <v>526</v>
      </c>
      <c r="K29" s="187" t="s">
        <v>521</v>
      </c>
      <c r="L29" s="182" t="s">
        <v>527</v>
      </c>
      <c r="M29" s="104" t="s">
        <v>504</v>
      </c>
      <c r="N29" s="72"/>
      <c r="O29" s="124" t="s">
        <v>504</v>
      </c>
    </row>
    <row r="30" spans="1:17" ht="30" x14ac:dyDescent="0.25">
      <c r="A30" s="6">
        <v>13</v>
      </c>
      <c r="B30" s="123" t="s">
        <v>182</v>
      </c>
      <c r="C30" s="183" t="s">
        <v>514</v>
      </c>
      <c r="D30" s="183" t="s">
        <v>270</v>
      </c>
      <c r="E30" s="183" t="s">
        <v>504</v>
      </c>
      <c r="F30" s="183"/>
      <c r="G30" s="183" t="s">
        <v>528</v>
      </c>
      <c r="H30" s="184"/>
      <c r="I30" s="185" t="b">
        <v>1</v>
      </c>
      <c r="J30" s="182" t="s">
        <v>529</v>
      </c>
      <c r="K30" s="187" t="s">
        <v>521</v>
      </c>
      <c r="L30" s="182" t="s">
        <v>528</v>
      </c>
      <c r="M30" s="104" t="s">
        <v>504</v>
      </c>
      <c r="N30" s="72"/>
      <c r="O30" s="124" t="s">
        <v>504</v>
      </c>
    </row>
    <row r="31" spans="1:17" x14ac:dyDescent="0.25">
      <c r="A31" s="6">
        <v>14</v>
      </c>
      <c r="B31" s="123" t="s">
        <v>182</v>
      </c>
      <c r="C31" s="183" t="s">
        <v>506</v>
      </c>
      <c r="D31" s="183" t="s">
        <v>289</v>
      </c>
      <c r="E31" s="183"/>
      <c r="F31" s="183"/>
      <c r="G31" s="183" t="s">
        <v>512</v>
      </c>
      <c r="H31" s="184"/>
      <c r="I31" s="185" t="b">
        <v>1</v>
      </c>
      <c r="J31" s="182" t="s">
        <v>513</v>
      </c>
      <c r="K31" s="182" t="s">
        <v>514</v>
      </c>
      <c r="L31" s="182" t="s">
        <v>515</v>
      </c>
      <c r="M31" s="104" t="s">
        <v>504</v>
      </c>
      <c r="N31" s="72"/>
      <c r="O31" s="124" t="s">
        <v>504</v>
      </c>
    </row>
    <row r="32" spans="1:17" x14ac:dyDescent="0.25">
      <c r="A32" s="6">
        <v>15</v>
      </c>
      <c r="B32" s="123" t="s">
        <v>182</v>
      </c>
      <c r="C32" s="183" t="s">
        <v>516</v>
      </c>
      <c r="D32" s="183" t="s">
        <v>270</v>
      </c>
      <c r="E32" s="183" t="s">
        <v>297</v>
      </c>
      <c r="F32" s="183"/>
      <c r="G32" s="183" t="s">
        <v>512</v>
      </c>
      <c r="H32" s="184"/>
      <c r="I32" s="185" t="b">
        <v>1</v>
      </c>
      <c r="J32" s="182" t="s">
        <v>513</v>
      </c>
      <c r="K32" s="182" t="s">
        <v>514</v>
      </c>
      <c r="L32" s="182" t="s">
        <v>515</v>
      </c>
      <c r="M32" s="104" t="s">
        <v>504</v>
      </c>
      <c r="N32" s="72"/>
      <c r="O32" s="124" t="s">
        <v>504</v>
      </c>
    </row>
    <row r="33" spans="1:15" x14ac:dyDescent="0.25">
      <c r="A33" s="6">
        <v>16</v>
      </c>
      <c r="B33" s="123" t="s">
        <v>182</v>
      </c>
      <c r="C33" s="183" t="s">
        <v>189</v>
      </c>
      <c r="D33" s="183" t="s">
        <v>270</v>
      </c>
      <c r="E33" s="183" t="s">
        <v>297</v>
      </c>
      <c r="F33" s="183"/>
      <c r="G33" s="183" t="s">
        <v>512</v>
      </c>
      <c r="H33" s="184"/>
      <c r="I33" s="185" t="b">
        <v>1</v>
      </c>
      <c r="J33" s="182" t="s">
        <v>513</v>
      </c>
      <c r="K33" s="182" t="s">
        <v>514</v>
      </c>
      <c r="L33" s="182" t="s">
        <v>515</v>
      </c>
      <c r="M33" s="104" t="s">
        <v>504</v>
      </c>
      <c r="N33" s="72"/>
      <c r="O33" s="124" t="s">
        <v>504</v>
      </c>
    </row>
    <row r="34" spans="1:15" x14ac:dyDescent="0.25">
      <c r="A34" s="6">
        <v>17</v>
      </c>
      <c r="B34" s="140" t="s">
        <v>182</v>
      </c>
      <c r="C34" s="183" t="s">
        <v>517</v>
      </c>
      <c r="D34" s="183" t="s">
        <v>270</v>
      </c>
      <c r="E34" s="183" t="s">
        <v>509</v>
      </c>
      <c r="F34" s="136"/>
      <c r="G34" s="136" t="s">
        <v>504</v>
      </c>
      <c r="H34" s="137"/>
      <c r="I34" s="138" t="b">
        <v>0</v>
      </c>
      <c r="J34" s="135" t="s">
        <v>505</v>
      </c>
      <c r="K34" s="135" t="s">
        <v>506</v>
      </c>
      <c r="L34" s="135" t="s">
        <v>530</v>
      </c>
      <c r="M34" s="135" t="s">
        <v>531</v>
      </c>
      <c r="N34" s="72"/>
      <c r="O34" s="124" t="s">
        <v>532</v>
      </c>
    </row>
    <row r="35" spans="1:15" x14ac:dyDescent="0.25">
      <c r="A35" s="6">
        <v>18</v>
      </c>
      <c r="B35" s="140" t="s">
        <v>182</v>
      </c>
      <c r="C35" s="183" t="s">
        <v>517</v>
      </c>
      <c r="D35" s="183" t="s">
        <v>270</v>
      </c>
      <c r="E35" s="183" t="s">
        <v>511</v>
      </c>
      <c r="F35" s="136"/>
      <c r="G35" s="136" t="s">
        <v>504</v>
      </c>
      <c r="H35" s="137"/>
      <c r="I35" s="138" t="b">
        <v>1</v>
      </c>
      <c r="J35" s="135" t="s">
        <v>505</v>
      </c>
      <c r="K35" s="135" t="s">
        <v>506</v>
      </c>
      <c r="L35" s="135" t="s">
        <v>530</v>
      </c>
      <c r="M35" s="135" t="s">
        <v>531</v>
      </c>
      <c r="N35" s="72"/>
      <c r="O35" s="124" t="s">
        <v>504</v>
      </c>
    </row>
    <row r="36" spans="1:15" x14ac:dyDescent="0.25">
      <c r="A36" s="6">
        <v>19</v>
      </c>
      <c r="B36" s="140" t="s">
        <v>182</v>
      </c>
      <c r="C36" s="183" t="s">
        <v>517</v>
      </c>
      <c r="D36" s="183" t="s">
        <v>270</v>
      </c>
      <c r="E36" s="183" t="s">
        <v>296</v>
      </c>
      <c r="F36" s="136"/>
      <c r="G36" s="136" t="s">
        <v>504</v>
      </c>
      <c r="H36" s="137"/>
      <c r="I36" s="138" t="b">
        <v>1</v>
      </c>
      <c r="J36" s="135" t="s">
        <v>505</v>
      </c>
      <c r="K36" s="135" t="s">
        <v>506</v>
      </c>
      <c r="L36" s="135" t="s">
        <v>530</v>
      </c>
      <c r="M36" s="135" t="s">
        <v>531</v>
      </c>
      <c r="N36" s="72"/>
      <c r="O36" s="124" t="s">
        <v>504</v>
      </c>
    </row>
    <row r="37" spans="1:15" x14ac:dyDescent="0.25">
      <c r="A37" s="6">
        <v>20</v>
      </c>
      <c r="B37" s="140" t="s">
        <v>182</v>
      </c>
      <c r="C37" s="183" t="s">
        <v>517</v>
      </c>
      <c r="D37" s="183" t="s">
        <v>289</v>
      </c>
      <c r="E37" s="183" t="s">
        <v>297</v>
      </c>
      <c r="F37" s="183"/>
      <c r="G37" s="183" t="s">
        <v>504</v>
      </c>
      <c r="H37" s="184"/>
      <c r="I37" s="185" t="b">
        <v>1</v>
      </c>
      <c r="J37" s="182" t="s">
        <v>505</v>
      </c>
      <c r="K37" s="182" t="s">
        <v>506</v>
      </c>
      <c r="L37" s="182" t="s">
        <v>507</v>
      </c>
      <c r="M37" s="104" t="s">
        <v>508</v>
      </c>
      <c r="N37" s="72"/>
      <c r="O37" s="124" t="s">
        <v>504</v>
      </c>
    </row>
    <row r="38" spans="1:15" x14ac:dyDescent="0.25">
      <c r="A38" s="6">
        <v>21</v>
      </c>
      <c r="B38" s="123" t="s">
        <v>182</v>
      </c>
      <c r="C38" s="183" t="s">
        <v>503</v>
      </c>
      <c r="D38" s="183" t="s">
        <v>270</v>
      </c>
      <c r="E38" s="183" t="s">
        <v>509</v>
      </c>
      <c r="F38" s="183"/>
      <c r="G38" s="183" t="s">
        <v>504</v>
      </c>
      <c r="H38" s="184"/>
      <c r="I38" s="185" t="b">
        <v>0</v>
      </c>
      <c r="J38" s="182" t="s">
        <v>505</v>
      </c>
      <c r="K38" s="182" t="s">
        <v>506</v>
      </c>
      <c r="L38" s="182" t="s">
        <v>530</v>
      </c>
      <c r="M38" s="182" t="s">
        <v>531</v>
      </c>
      <c r="N38" s="72"/>
      <c r="O38" s="124" t="s">
        <v>504</v>
      </c>
    </row>
    <row r="39" spans="1:15" x14ac:dyDescent="0.25">
      <c r="A39" s="6">
        <v>22</v>
      </c>
      <c r="B39" s="123" t="s">
        <v>182</v>
      </c>
      <c r="C39" s="183" t="s">
        <v>503</v>
      </c>
      <c r="D39" s="183" t="s">
        <v>270</v>
      </c>
      <c r="E39" s="183" t="s">
        <v>511</v>
      </c>
      <c r="F39" s="183"/>
      <c r="G39" s="183" t="s">
        <v>504</v>
      </c>
      <c r="H39" s="184"/>
      <c r="I39" s="185" t="b">
        <v>1</v>
      </c>
      <c r="J39" s="182" t="s">
        <v>505</v>
      </c>
      <c r="K39" s="182" t="s">
        <v>506</v>
      </c>
      <c r="L39" s="182" t="s">
        <v>530</v>
      </c>
      <c r="M39" s="182" t="s">
        <v>531</v>
      </c>
      <c r="N39" s="72"/>
      <c r="O39" s="124" t="s">
        <v>504</v>
      </c>
    </row>
    <row r="40" spans="1:15" x14ac:dyDescent="0.25">
      <c r="A40" s="6">
        <v>23</v>
      </c>
      <c r="B40" s="123" t="s">
        <v>182</v>
      </c>
      <c r="C40" s="183" t="s">
        <v>503</v>
      </c>
      <c r="D40" s="183" t="s">
        <v>270</v>
      </c>
      <c r="E40" s="183" t="s">
        <v>296</v>
      </c>
      <c r="F40" s="183"/>
      <c r="G40" s="183" t="s">
        <v>504</v>
      </c>
      <c r="H40" s="184"/>
      <c r="I40" s="185" t="b">
        <v>1</v>
      </c>
      <c r="J40" s="182" t="s">
        <v>505</v>
      </c>
      <c r="K40" s="182" t="s">
        <v>506</v>
      </c>
      <c r="L40" s="182" t="s">
        <v>530</v>
      </c>
      <c r="M40" s="182" t="s">
        <v>531</v>
      </c>
      <c r="N40" s="72"/>
      <c r="O40" s="124" t="s">
        <v>504</v>
      </c>
    </row>
    <row r="41" spans="1:15" x14ac:dyDescent="0.25">
      <c r="A41" s="6">
        <v>24</v>
      </c>
      <c r="B41" s="123" t="s">
        <v>182</v>
      </c>
      <c r="C41" s="183" t="s">
        <v>503</v>
      </c>
      <c r="D41" s="183" t="s">
        <v>270</v>
      </c>
      <c r="E41" s="183" t="s">
        <v>297</v>
      </c>
      <c r="F41" s="183"/>
      <c r="G41" s="183" t="s">
        <v>504</v>
      </c>
      <c r="H41" s="184"/>
      <c r="I41" s="185" t="b">
        <v>1</v>
      </c>
      <c r="J41" s="182" t="s">
        <v>505</v>
      </c>
      <c r="K41" s="182" t="s">
        <v>506</v>
      </c>
      <c r="L41" s="182" t="s">
        <v>507</v>
      </c>
      <c r="M41" s="182" t="s">
        <v>508</v>
      </c>
      <c r="N41" s="72"/>
      <c r="O41" s="124" t="s">
        <v>504</v>
      </c>
    </row>
    <row r="42" spans="1:15" ht="30" x14ac:dyDescent="0.25">
      <c r="A42" s="6">
        <v>25</v>
      </c>
      <c r="B42" s="123" t="s">
        <v>182</v>
      </c>
      <c r="C42" s="183" t="s">
        <v>506</v>
      </c>
      <c r="D42" s="183" t="s">
        <v>289</v>
      </c>
      <c r="E42" s="183" t="s">
        <v>297</v>
      </c>
      <c r="F42" s="183"/>
      <c r="G42" s="183" t="s">
        <v>504</v>
      </c>
      <c r="H42" s="184"/>
      <c r="I42" s="185" t="b">
        <v>1</v>
      </c>
      <c r="J42" s="182" t="s">
        <v>533</v>
      </c>
      <c r="K42" s="187" t="s">
        <v>521</v>
      </c>
      <c r="L42" s="182" t="s">
        <v>534</v>
      </c>
      <c r="M42" s="104" t="s">
        <v>504</v>
      </c>
      <c r="N42" s="72"/>
      <c r="O42" s="125" t="s">
        <v>535</v>
      </c>
    </row>
    <row r="43" spans="1:15" x14ac:dyDescent="0.25">
      <c r="A43" s="6">
        <v>26</v>
      </c>
      <c r="B43" s="140" t="s">
        <v>182</v>
      </c>
      <c r="C43" s="182" t="s">
        <v>517</v>
      </c>
      <c r="D43" s="183" t="s">
        <v>308</v>
      </c>
      <c r="E43" s="183" t="s">
        <v>509</v>
      </c>
      <c r="F43" s="136"/>
      <c r="G43" s="136" t="s">
        <v>504</v>
      </c>
      <c r="H43" s="137"/>
      <c r="I43" s="138" t="b">
        <v>0</v>
      </c>
      <c r="J43" s="135" t="s">
        <v>505</v>
      </c>
      <c r="K43" s="135" t="s">
        <v>506</v>
      </c>
      <c r="L43" s="135" t="s">
        <v>530</v>
      </c>
      <c r="M43" s="135" t="s">
        <v>531</v>
      </c>
      <c r="N43" s="72"/>
      <c r="O43" s="124" t="s">
        <v>532</v>
      </c>
    </row>
    <row r="44" spans="1:15" x14ac:dyDescent="0.25">
      <c r="A44" s="6">
        <v>27</v>
      </c>
      <c r="B44" s="140" t="s">
        <v>182</v>
      </c>
      <c r="C44" s="182" t="s">
        <v>517</v>
      </c>
      <c r="D44" s="183" t="s">
        <v>308</v>
      </c>
      <c r="E44" s="183" t="s">
        <v>511</v>
      </c>
      <c r="F44" s="136"/>
      <c r="G44" s="136" t="s">
        <v>504</v>
      </c>
      <c r="H44" s="137"/>
      <c r="I44" s="138" t="b">
        <v>1</v>
      </c>
      <c r="J44" s="135" t="s">
        <v>505</v>
      </c>
      <c r="K44" s="135" t="s">
        <v>506</v>
      </c>
      <c r="L44" s="135" t="s">
        <v>530</v>
      </c>
      <c r="M44" s="135" t="s">
        <v>531</v>
      </c>
      <c r="N44" s="72"/>
      <c r="O44" s="124" t="s">
        <v>504</v>
      </c>
    </row>
    <row r="45" spans="1:15" x14ac:dyDescent="0.25">
      <c r="A45" s="6">
        <v>28</v>
      </c>
      <c r="B45" s="140" t="s">
        <v>182</v>
      </c>
      <c r="C45" s="182" t="s">
        <v>517</v>
      </c>
      <c r="D45" s="183" t="s">
        <v>308</v>
      </c>
      <c r="E45" s="183" t="s">
        <v>296</v>
      </c>
      <c r="F45" s="136"/>
      <c r="G45" s="136" t="s">
        <v>504</v>
      </c>
      <c r="H45" s="137"/>
      <c r="I45" s="138" t="b">
        <v>1</v>
      </c>
      <c r="J45" s="135" t="s">
        <v>505</v>
      </c>
      <c r="K45" s="135" t="s">
        <v>506</v>
      </c>
      <c r="L45" s="135" t="s">
        <v>530</v>
      </c>
      <c r="M45" s="135" t="s">
        <v>531</v>
      </c>
      <c r="N45" s="72"/>
      <c r="O45" s="124" t="s">
        <v>504</v>
      </c>
    </row>
    <row r="46" spans="1:15" x14ac:dyDescent="0.25">
      <c r="A46" s="6">
        <v>29</v>
      </c>
      <c r="B46" s="123" t="s">
        <v>182</v>
      </c>
      <c r="C46" s="182" t="s">
        <v>503</v>
      </c>
      <c r="D46" s="182" t="s">
        <v>308</v>
      </c>
      <c r="E46" s="183" t="s">
        <v>509</v>
      </c>
      <c r="F46" s="183"/>
      <c r="G46" s="183" t="s">
        <v>504</v>
      </c>
      <c r="H46" s="184"/>
      <c r="I46" s="185" t="b">
        <v>0</v>
      </c>
      <c r="J46" s="182" t="s">
        <v>505</v>
      </c>
      <c r="K46" s="182" t="s">
        <v>506</v>
      </c>
      <c r="L46" s="182" t="s">
        <v>530</v>
      </c>
      <c r="M46" s="182" t="s">
        <v>531</v>
      </c>
      <c r="N46" s="72"/>
      <c r="O46" s="124" t="s">
        <v>504</v>
      </c>
    </row>
    <row r="47" spans="1:15" x14ac:dyDescent="0.25">
      <c r="A47" s="6">
        <v>30</v>
      </c>
      <c r="B47" s="123" t="s">
        <v>182</v>
      </c>
      <c r="C47" s="182" t="s">
        <v>503</v>
      </c>
      <c r="D47" s="182" t="s">
        <v>308</v>
      </c>
      <c r="E47" s="183" t="s">
        <v>511</v>
      </c>
      <c r="F47" s="183"/>
      <c r="G47" s="183" t="s">
        <v>504</v>
      </c>
      <c r="H47" s="184"/>
      <c r="I47" s="185" t="b">
        <v>1</v>
      </c>
      <c r="J47" s="182" t="s">
        <v>505</v>
      </c>
      <c r="K47" s="182" t="s">
        <v>506</v>
      </c>
      <c r="L47" s="182" t="s">
        <v>530</v>
      </c>
      <c r="M47" s="182" t="s">
        <v>531</v>
      </c>
      <c r="N47" s="72"/>
      <c r="O47" s="124" t="s">
        <v>504</v>
      </c>
    </row>
    <row r="48" spans="1:15" x14ac:dyDescent="0.25">
      <c r="A48" s="6">
        <v>31</v>
      </c>
      <c r="B48" s="123" t="s">
        <v>182</v>
      </c>
      <c r="C48" s="182" t="s">
        <v>503</v>
      </c>
      <c r="D48" s="182" t="s">
        <v>308</v>
      </c>
      <c r="E48" s="183" t="s">
        <v>296</v>
      </c>
      <c r="F48" s="183"/>
      <c r="G48" s="183" t="s">
        <v>504</v>
      </c>
      <c r="H48" s="184"/>
      <c r="I48" s="185" t="b">
        <v>1</v>
      </c>
      <c r="J48" s="182" t="s">
        <v>505</v>
      </c>
      <c r="K48" s="182" t="s">
        <v>506</v>
      </c>
      <c r="L48" s="182" t="s">
        <v>530</v>
      </c>
      <c r="M48" s="182" t="s">
        <v>531</v>
      </c>
      <c r="N48" s="72"/>
      <c r="O48" s="124" t="s">
        <v>504</v>
      </c>
    </row>
    <row r="49" spans="1:17" ht="30" x14ac:dyDescent="0.25">
      <c r="A49" s="6">
        <v>32</v>
      </c>
      <c r="B49" s="123" t="s">
        <v>182</v>
      </c>
      <c r="C49" s="182" t="s">
        <v>506</v>
      </c>
      <c r="D49" s="182" t="s">
        <v>308</v>
      </c>
      <c r="E49" s="183" t="s">
        <v>297</v>
      </c>
      <c r="F49" s="183"/>
      <c r="G49" s="183" t="s">
        <v>504</v>
      </c>
      <c r="H49" s="184"/>
      <c r="I49" s="185" t="b">
        <v>1</v>
      </c>
      <c r="J49" s="182" t="s">
        <v>533</v>
      </c>
      <c r="K49" s="187" t="s">
        <v>521</v>
      </c>
      <c r="L49" s="182" t="s">
        <v>534</v>
      </c>
      <c r="M49" s="104" t="s">
        <v>504</v>
      </c>
      <c r="N49" s="72"/>
      <c r="O49" s="125" t="s">
        <v>535</v>
      </c>
    </row>
    <row r="50" spans="1:17" ht="30" x14ac:dyDescent="0.25">
      <c r="A50" s="6">
        <v>33</v>
      </c>
      <c r="B50" s="123" t="s">
        <v>182</v>
      </c>
      <c r="C50" s="182" t="s">
        <v>514</v>
      </c>
      <c r="D50" s="182" t="s">
        <v>308</v>
      </c>
      <c r="E50" s="183" t="s">
        <v>504</v>
      </c>
      <c r="F50" s="183"/>
      <c r="G50" s="183" t="s">
        <v>519</v>
      </c>
      <c r="H50" s="184"/>
      <c r="I50" s="185" t="b">
        <v>1</v>
      </c>
      <c r="J50" s="182" t="s">
        <v>520</v>
      </c>
      <c r="K50" s="187" t="s">
        <v>521</v>
      </c>
      <c r="L50" s="182" t="s">
        <v>519</v>
      </c>
      <c r="M50" s="104" t="s">
        <v>504</v>
      </c>
      <c r="N50" s="72"/>
      <c r="O50" s="124" t="s">
        <v>504</v>
      </c>
    </row>
    <row r="51" spans="1:17" ht="30" x14ac:dyDescent="0.25">
      <c r="A51" s="6">
        <v>34</v>
      </c>
      <c r="B51" s="123" t="s">
        <v>182</v>
      </c>
      <c r="C51" s="182" t="s">
        <v>189</v>
      </c>
      <c r="D51" s="182" t="s">
        <v>308</v>
      </c>
      <c r="E51" s="183" t="s">
        <v>297</v>
      </c>
      <c r="F51" s="183"/>
      <c r="G51" s="183" t="s">
        <v>519</v>
      </c>
      <c r="H51" s="184"/>
      <c r="I51" s="185" t="b">
        <v>1</v>
      </c>
      <c r="J51" s="182" t="s">
        <v>520</v>
      </c>
      <c r="K51" s="187" t="s">
        <v>521</v>
      </c>
      <c r="L51" s="182" t="s">
        <v>519</v>
      </c>
      <c r="M51" s="104" t="s">
        <v>504</v>
      </c>
      <c r="N51" s="72"/>
      <c r="O51" s="124" t="s">
        <v>504</v>
      </c>
    </row>
    <row r="52" spans="1:17" ht="30" x14ac:dyDescent="0.25">
      <c r="A52" s="6">
        <v>35</v>
      </c>
      <c r="B52" s="123" t="s">
        <v>182</v>
      </c>
      <c r="C52" s="182" t="s">
        <v>514</v>
      </c>
      <c r="D52" s="182" t="s">
        <v>308</v>
      </c>
      <c r="E52" s="183" t="s">
        <v>504</v>
      </c>
      <c r="F52" s="183"/>
      <c r="G52" s="183" t="s">
        <v>522</v>
      </c>
      <c r="H52" s="184"/>
      <c r="I52" s="185" t="b">
        <v>1</v>
      </c>
      <c r="J52" s="182" t="s">
        <v>523</v>
      </c>
      <c r="K52" s="187" t="s">
        <v>521</v>
      </c>
      <c r="L52" s="182" t="s">
        <v>524</v>
      </c>
      <c r="M52" s="104" t="s">
        <v>504</v>
      </c>
      <c r="N52" s="72"/>
      <c r="O52" s="124" t="s">
        <v>504</v>
      </c>
    </row>
    <row r="53" spans="1:17" ht="30" x14ac:dyDescent="0.25">
      <c r="A53" s="6">
        <v>36</v>
      </c>
      <c r="B53" s="123" t="s">
        <v>182</v>
      </c>
      <c r="C53" s="182" t="s">
        <v>514</v>
      </c>
      <c r="D53" s="182" t="s">
        <v>308</v>
      </c>
      <c r="E53" s="183" t="s">
        <v>504</v>
      </c>
      <c r="F53" s="183"/>
      <c r="G53" s="183" t="s">
        <v>525</v>
      </c>
      <c r="H53" s="184"/>
      <c r="I53" s="185" t="b">
        <v>1</v>
      </c>
      <c r="J53" s="182" t="s">
        <v>526</v>
      </c>
      <c r="K53" s="187" t="s">
        <v>521</v>
      </c>
      <c r="L53" s="182" t="s">
        <v>527</v>
      </c>
      <c r="M53" s="104" t="s">
        <v>504</v>
      </c>
      <c r="N53" s="72"/>
      <c r="O53" s="124" t="s">
        <v>504</v>
      </c>
    </row>
    <row r="54" spans="1:17" ht="30" x14ac:dyDescent="0.25">
      <c r="A54" s="6">
        <v>37</v>
      </c>
      <c r="B54" s="123" t="s">
        <v>182</v>
      </c>
      <c r="C54" s="182" t="s">
        <v>514</v>
      </c>
      <c r="D54" s="182" t="s">
        <v>308</v>
      </c>
      <c r="E54" s="183" t="s">
        <v>504</v>
      </c>
      <c r="F54" s="183"/>
      <c r="G54" s="183" t="s">
        <v>528</v>
      </c>
      <c r="H54" s="184"/>
      <c r="I54" s="185" t="b">
        <v>1</v>
      </c>
      <c r="J54" s="182" t="s">
        <v>529</v>
      </c>
      <c r="K54" s="187" t="s">
        <v>521</v>
      </c>
      <c r="L54" s="182" t="s">
        <v>528</v>
      </c>
      <c r="M54" s="104" t="s">
        <v>504</v>
      </c>
      <c r="N54" s="72"/>
      <c r="O54" s="124" t="s">
        <v>504</v>
      </c>
    </row>
    <row r="55" spans="1:17" x14ac:dyDescent="0.25">
      <c r="A55" s="6"/>
      <c r="B55" s="123"/>
      <c r="C55" s="182"/>
      <c r="D55" s="182"/>
      <c r="E55" s="183"/>
      <c r="F55" s="183"/>
      <c r="G55" s="183"/>
      <c r="H55" s="184"/>
      <c r="I55" s="185"/>
      <c r="J55" s="182"/>
      <c r="K55" s="187"/>
      <c r="L55" s="182"/>
      <c r="M55" s="104"/>
      <c r="N55" s="72"/>
      <c r="O55" s="124"/>
    </row>
    <row r="56" spans="1:17" x14ac:dyDescent="0.25">
      <c r="A56" s="6"/>
      <c r="B56" s="123"/>
      <c r="C56" s="182"/>
      <c r="D56" s="182"/>
      <c r="E56" s="183"/>
      <c r="F56" s="183"/>
      <c r="G56" s="183"/>
      <c r="H56" s="184"/>
      <c r="I56" s="185"/>
      <c r="J56" s="182"/>
      <c r="K56" s="187"/>
      <c r="L56" s="182"/>
      <c r="M56" s="104"/>
      <c r="N56" s="72"/>
      <c r="O56" s="124"/>
    </row>
    <row r="57" spans="1:17" x14ac:dyDescent="0.25">
      <c r="A57" s="6"/>
      <c r="B57" s="123"/>
      <c r="C57" s="182"/>
      <c r="D57" s="182"/>
      <c r="E57" s="183"/>
      <c r="F57" s="183"/>
      <c r="G57" s="183"/>
      <c r="H57" s="184"/>
      <c r="I57" s="185"/>
      <c r="J57" s="182"/>
      <c r="K57" s="187"/>
      <c r="L57" s="182"/>
      <c r="M57" s="104"/>
      <c r="N57" s="72"/>
      <c r="O57" s="124"/>
    </row>
    <row r="58" spans="1:17" x14ac:dyDescent="0.25">
      <c r="A58" s="6"/>
      <c r="B58" s="123"/>
      <c r="C58" s="182"/>
      <c r="D58" s="182"/>
      <c r="E58" s="183"/>
      <c r="F58" s="183"/>
      <c r="G58" s="183"/>
      <c r="H58" s="184"/>
      <c r="I58" s="185"/>
      <c r="J58" s="182"/>
      <c r="K58" s="187"/>
      <c r="L58" s="182"/>
      <c r="M58" s="104"/>
      <c r="N58" s="72"/>
      <c r="O58" s="124"/>
    </row>
    <row r="59" spans="1:17" x14ac:dyDescent="0.25">
      <c r="A59" s="6"/>
      <c r="B59" s="123"/>
      <c r="C59" s="182"/>
      <c r="D59" s="182"/>
      <c r="E59" s="183"/>
      <c r="F59" s="183"/>
      <c r="G59" s="183"/>
      <c r="H59" s="184"/>
      <c r="I59" s="185"/>
      <c r="J59" s="182"/>
      <c r="K59" s="187"/>
      <c r="L59" s="182"/>
      <c r="M59" s="104"/>
      <c r="N59" s="72"/>
      <c r="O59" s="124"/>
    </row>
    <row r="60" spans="1:17" x14ac:dyDescent="0.25">
      <c r="A60" s="107"/>
      <c r="B60" s="375"/>
      <c r="C60" s="393"/>
      <c r="D60" s="393"/>
      <c r="E60" s="394"/>
      <c r="F60" s="394"/>
      <c r="G60" s="394"/>
      <c r="H60" s="184"/>
      <c r="I60" s="395"/>
      <c r="J60" s="393"/>
      <c r="K60" s="396"/>
      <c r="L60" s="393"/>
      <c r="M60" s="121"/>
      <c r="N60" s="72"/>
      <c r="O60" s="120"/>
    </row>
    <row r="61" spans="1:17" x14ac:dyDescent="0.25">
      <c r="A61" s="392"/>
      <c r="B61" s="410" t="s">
        <v>443</v>
      </c>
      <c r="C61" s="411"/>
      <c r="D61" s="411"/>
      <c r="E61" s="412"/>
      <c r="F61" s="412"/>
      <c r="G61" s="412"/>
      <c r="H61" s="413"/>
      <c r="I61" s="414"/>
      <c r="J61" s="411"/>
      <c r="K61" s="415"/>
      <c r="L61" s="411"/>
      <c r="M61" s="416"/>
      <c r="N61" s="408"/>
      <c r="O61" s="417"/>
      <c r="P61" s="409"/>
      <c r="Q61" s="72"/>
    </row>
    <row r="62" spans="1:17" x14ac:dyDescent="0.25">
      <c r="A62" s="6">
        <v>1</v>
      </c>
      <c r="B62" s="6" t="s">
        <v>194</v>
      </c>
      <c r="C62" s="64" t="s">
        <v>503</v>
      </c>
      <c r="D62" s="64" t="s">
        <v>288</v>
      </c>
      <c r="E62" s="15" t="s">
        <v>276</v>
      </c>
      <c r="F62" s="15"/>
      <c r="G62" s="15"/>
      <c r="H62" s="43"/>
      <c r="I62" s="64" t="b">
        <v>1</v>
      </c>
      <c r="J62" s="64" t="s">
        <v>536</v>
      </c>
      <c r="K62" s="64"/>
      <c r="L62" s="64" t="s">
        <v>537</v>
      </c>
      <c r="M62" s="64" t="s">
        <v>538</v>
      </c>
      <c r="O62" s="103"/>
    </row>
    <row r="63" spans="1:17" x14ac:dyDescent="0.25">
      <c r="A63" s="6">
        <v>2</v>
      </c>
      <c r="B63" s="6" t="s">
        <v>194</v>
      </c>
      <c r="C63" s="64" t="s">
        <v>506</v>
      </c>
      <c r="D63" s="64" t="s">
        <v>288</v>
      </c>
      <c r="E63" s="15"/>
      <c r="F63" s="15"/>
      <c r="G63" s="15" t="s">
        <v>539</v>
      </c>
      <c r="H63" s="43"/>
      <c r="I63" s="64" t="b">
        <v>1</v>
      </c>
      <c r="J63" s="64" t="s">
        <v>540</v>
      </c>
      <c r="K63" s="64"/>
      <c r="L63" s="64" t="s">
        <v>541</v>
      </c>
      <c r="M63" s="64"/>
      <c r="O63" s="103"/>
    </row>
    <row r="64" spans="1:17" x14ac:dyDescent="0.25">
      <c r="A64" s="6">
        <v>3</v>
      </c>
      <c r="B64" s="6" t="s">
        <v>194</v>
      </c>
      <c r="C64" s="64" t="s">
        <v>517</v>
      </c>
      <c r="D64" s="64" t="s">
        <v>288</v>
      </c>
      <c r="E64" s="15"/>
      <c r="F64" s="15"/>
      <c r="G64" s="15"/>
      <c r="H64" s="43"/>
      <c r="I64" s="64" t="b">
        <v>1</v>
      </c>
      <c r="J64" s="64" t="s">
        <v>536</v>
      </c>
      <c r="K64" s="64"/>
      <c r="L64" s="64" t="s">
        <v>537</v>
      </c>
      <c r="M64" s="64" t="s">
        <v>538</v>
      </c>
      <c r="O64" s="103"/>
    </row>
    <row r="65" spans="1:15" x14ac:dyDescent="0.25">
      <c r="A65" s="6">
        <v>4</v>
      </c>
      <c r="B65" s="6" t="s">
        <v>194</v>
      </c>
      <c r="C65" s="64" t="s">
        <v>260</v>
      </c>
      <c r="D65" s="64" t="s">
        <v>288</v>
      </c>
      <c r="E65" s="15"/>
      <c r="F65" s="15"/>
      <c r="G65" s="15" t="s">
        <v>542</v>
      </c>
      <c r="H65" s="43"/>
      <c r="I65" s="64" t="b">
        <v>1</v>
      </c>
      <c r="J65" s="64" t="s">
        <v>543</v>
      </c>
      <c r="K65" s="64"/>
      <c r="L65" s="64"/>
      <c r="M65" s="64"/>
      <c r="O65" s="103" t="s">
        <v>544</v>
      </c>
    </row>
    <row r="66" spans="1:15" x14ac:dyDescent="0.25">
      <c r="A66" s="6">
        <v>5</v>
      </c>
      <c r="B66" s="6" t="s">
        <v>194</v>
      </c>
      <c r="C66" s="64" t="s">
        <v>261</v>
      </c>
      <c r="D66" s="64" t="s">
        <v>288</v>
      </c>
      <c r="E66" s="15"/>
      <c r="F66" s="15"/>
      <c r="G66" s="15" t="s">
        <v>542</v>
      </c>
      <c r="H66" s="43"/>
      <c r="I66" s="64" t="b">
        <v>1</v>
      </c>
      <c r="J66" s="64" t="s">
        <v>545</v>
      </c>
      <c r="K66" s="64"/>
      <c r="L66" s="64"/>
      <c r="M66" s="64"/>
      <c r="O66" s="103" t="s">
        <v>544</v>
      </c>
    </row>
    <row r="67" spans="1:15" x14ac:dyDescent="0.25">
      <c r="A67" s="6">
        <v>6</v>
      </c>
      <c r="B67" s="6" t="s">
        <v>194</v>
      </c>
      <c r="C67" s="64" t="s">
        <v>260</v>
      </c>
      <c r="D67" s="64" t="s">
        <v>288</v>
      </c>
      <c r="E67" s="15"/>
      <c r="F67" s="15"/>
      <c r="G67" s="15" t="s">
        <v>546</v>
      </c>
      <c r="H67" s="43"/>
      <c r="I67" s="64" t="b">
        <v>1</v>
      </c>
      <c r="J67" s="64" t="s">
        <v>543</v>
      </c>
      <c r="K67" s="64"/>
      <c r="L67" s="64"/>
      <c r="M67" s="64"/>
      <c r="O67" s="103" t="s">
        <v>544</v>
      </c>
    </row>
    <row r="68" spans="1:15" x14ac:dyDescent="0.25">
      <c r="A68" s="6">
        <v>7</v>
      </c>
      <c r="B68" s="6" t="s">
        <v>194</v>
      </c>
      <c r="C68" s="64" t="s">
        <v>261</v>
      </c>
      <c r="D68" s="64" t="s">
        <v>288</v>
      </c>
      <c r="E68" s="15"/>
      <c r="F68" s="15"/>
      <c r="G68" s="15" t="s">
        <v>546</v>
      </c>
      <c r="H68" s="43"/>
      <c r="I68" s="64" t="b">
        <v>1</v>
      </c>
      <c r="J68" s="64" t="s">
        <v>545</v>
      </c>
      <c r="K68" s="64"/>
      <c r="L68" s="64"/>
      <c r="M68" s="64"/>
      <c r="O68" s="103" t="s">
        <v>544</v>
      </c>
    </row>
    <row r="69" spans="1:15" x14ac:dyDescent="0.25">
      <c r="A69" s="6"/>
      <c r="B69" s="21"/>
      <c r="C69" s="227"/>
      <c r="D69" s="227"/>
      <c r="E69" s="228"/>
      <c r="F69" s="228"/>
      <c r="G69" s="15"/>
      <c r="H69" s="43"/>
      <c r="I69" s="229"/>
      <c r="J69" s="227"/>
      <c r="K69" s="227"/>
      <c r="L69" s="227"/>
      <c r="M69" s="227"/>
      <c r="O69" s="103"/>
    </row>
    <row r="70" spans="1:15" x14ac:dyDescent="0.25">
      <c r="A70" s="6">
        <v>1</v>
      </c>
      <c r="B70" s="140" t="s">
        <v>412</v>
      </c>
      <c r="C70" s="182" t="s">
        <v>503</v>
      </c>
      <c r="D70" s="182" t="s">
        <v>270</v>
      </c>
      <c r="E70" s="183" t="s">
        <v>509</v>
      </c>
      <c r="F70" s="183" t="s">
        <v>547</v>
      </c>
      <c r="G70" s="126"/>
      <c r="H70" s="43"/>
      <c r="I70" s="185" t="b">
        <v>1</v>
      </c>
      <c r="J70" s="182" t="s">
        <v>548</v>
      </c>
      <c r="K70" s="182" t="s">
        <v>506</v>
      </c>
      <c r="L70" s="182" t="s">
        <v>548</v>
      </c>
      <c r="M70" s="182"/>
      <c r="O70" s="3"/>
    </row>
    <row r="71" spans="1:15" x14ac:dyDescent="0.25">
      <c r="A71" s="6">
        <v>2</v>
      </c>
      <c r="B71" s="140" t="s">
        <v>412</v>
      </c>
      <c r="C71" s="182" t="s">
        <v>503</v>
      </c>
      <c r="D71" s="182" t="s">
        <v>270</v>
      </c>
      <c r="E71" s="183" t="s">
        <v>309</v>
      </c>
      <c r="F71" s="183" t="s">
        <v>549</v>
      </c>
      <c r="G71" s="126"/>
      <c r="H71" s="43"/>
      <c r="I71" s="185" t="b">
        <v>1</v>
      </c>
      <c r="J71" s="182" t="s">
        <v>548</v>
      </c>
      <c r="K71" s="182" t="s">
        <v>506</v>
      </c>
      <c r="L71" s="182" t="s">
        <v>548</v>
      </c>
      <c r="M71" s="182"/>
      <c r="O71" s="3"/>
    </row>
    <row r="72" spans="1:15" x14ac:dyDescent="0.25">
      <c r="A72" s="107"/>
      <c r="B72" s="107"/>
      <c r="C72" s="73"/>
      <c r="D72" s="73"/>
      <c r="E72" s="126"/>
      <c r="F72" s="126"/>
      <c r="G72" s="126"/>
      <c r="H72" s="43"/>
      <c r="I72" s="73"/>
      <c r="J72" s="73"/>
      <c r="K72" s="73"/>
      <c r="L72" s="73"/>
      <c r="M72" s="73"/>
      <c r="O72" s="3"/>
    </row>
    <row r="73" spans="1:15" x14ac:dyDescent="0.25">
      <c r="A73" s="107"/>
      <c r="B73" s="107"/>
      <c r="C73" s="73"/>
      <c r="D73" s="73"/>
      <c r="E73" s="126"/>
      <c r="F73" s="126"/>
      <c r="G73" s="126"/>
      <c r="H73" s="43"/>
      <c r="I73" s="73"/>
      <c r="J73" s="73"/>
      <c r="K73" s="73"/>
      <c r="L73" s="73"/>
      <c r="M73" s="73"/>
      <c r="O73" s="3"/>
    </row>
    <row r="74" spans="1:15" x14ac:dyDescent="0.25">
      <c r="D74" s="38"/>
    </row>
  </sheetData>
  <autoFilter ref="B11:G73" xr:uid="{ED3A289A-DDDA-45C9-8235-3D9BDC36174A}"/>
  <mergeCells count="2">
    <mergeCell ref="B25:P25"/>
    <mergeCell ref="B61:P61"/>
  </mergeCells>
  <conditionalFormatting sqref="C7:E7 G7">
    <cfRule type="duplicateValues" dxfId="57" priority="3"/>
  </conditionalFormatting>
  <conditionalFormatting sqref="F7">
    <cfRule type="duplicateValues" dxfId="56" priority="1"/>
  </conditionalFormatting>
  <conditionalFormatting sqref="I7:M7">
    <cfRule type="duplicateValues" dxfId="55" priority="2"/>
  </conditionalFormatting>
  <conditionalFormatting sqref="O62:O73 O7:O11">
    <cfRule type="duplicateValues" dxfId="54" priority="120"/>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2544B2-98C0-426F-9C12-A7240C414F38}">
  <sheetPr>
    <tabColor theme="6"/>
  </sheetPr>
  <dimension ref="A1:Q107"/>
  <sheetViews>
    <sheetView showGridLines="0" zoomScaleNormal="100" workbookViewId="0">
      <selection activeCell="B12" sqref="B12:P20"/>
    </sheetView>
  </sheetViews>
  <sheetFormatPr defaultColWidth="9.28515625" defaultRowHeight="15" x14ac:dyDescent="0.25"/>
  <cols>
    <col min="1" max="1" width="6.28515625" bestFit="1" customWidth="1"/>
    <col min="2" max="2" width="23.28515625" bestFit="1" customWidth="1"/>
    <col min="3" max="3" width="40.42578125" customWidth="1"/>
    <col min="4" max="4" width="15" hidden="1" customWidth="1"/>
    <col min="5" max="5" width="17.28515625" bestFit="1" customWidth="1"/>
    <col min="6" max="8" width="13.42578125" hidden="1" customWidth="1"/>
    <col min="9" max="9" width="17.42578125" customWidth="1"/>
    <col min="10" max="10" width="13.42578125" customWidth="1"/>
    <col min="11" max="11" width="4.7109375" style="305" customWidth="1"/>
    <col min="12" max="12" width="12.7109375" customWidth="1"/>
    <col min="13" max="13" width="48.28515625" customWidth="1"/>
    <col min="14" max="14" width="0" hidden="1" customWidth="1"/>
    <col min="15" max="15" width="4.28515625" style="305" customWidth="1"/>
    <col min="16" max="16" width="82.28515625" customWidth="1"/>
    <col min="17" max="17" width="36.5703125" bestFit="1" customWidth="1"/>
    <col min="18" max="18" width="12" bestFit="1" customWidth="1"/>
  </cols>
  <sheetData>
    <row r="1" spans="1:17" ht="17.25" x14ac:dyDescent="0.25">
      <c r="B1" s="2" t="s">
        <v>3</v>
      </c>
      <c r="C1" s="1" t="s">
        <v>88</v>
      </c>
    </row>
    <row r="2" spans="1:17" ht="17.25" x14ac:dyDescent="0.25">
      <c r="B2" s="2" t="s">
        <v>158</v>
      </c>
      <c r="C2" s="1" t="s">
        <v>88</v>
      </c>
    </row>
    <row r="3" spans="1:17" s="47" customFormat="1" ht="17.25" x14ac:dyDescent="0.25">
      <c r="B3" s="48" t="s">
        <v>159</v>
      </c>
      <c r="C3" s="49" t="s">
        <v>199</v>
      </c>
      <c r="K3" s="306"/>
      <c r="O3" s="306"/>
    </row>
    <row r="4" spans="1:17" ht="45" x14ac:dyDescent="0.25">
      <c r="B4" s="2" t="s">
        <v>162</v>
      </c>
      <c r="C4" s="5" t="s">
        <v>81</v>
      </c>
      <c r="D4" s="25"/>
      <c r="E4" s="25"/>
      <c r="F4" s="25"/>
      <c r="G4" s="25"/>
      <c r="H4" s="25"/>
      <c r="I4" s="25"/>
      <c r="J4" s="25"/>
    </row>
    <row r="6" spans="1:17" x14ac:dyDescent="0.25">
      <c r="B6" s="6" t="s">
        <v>163</v>
      </c>
      <c r="C6" s="256" t="s">
        <v>164</v>
      </c>
      <c r="D6" s="256" t="s">
        <v>164</v>
      </c>
      <c r="E6" s="256" t="s">
        <v>164</v>
      </c>
      <c r="F6" s="256" t="s">
        <v>164</v>
      </c>
      <c r="G6" s="256" t="s">
        <v>164</v>
      </c>
      <c r="H6" s="256" t="s">
        <v>164</v>
      </c>
      <c r="I6" s="256" t="s">
        <v>164</v>
      </c>
      <c r="J6" s="253" t="s">
        <v>164</v>
      </c>
      <c r="L6" s="256" t="s">
        <v>200</v>
      </c>
      <c r="M6" s="253" t="s">
        <v>200</v>
      </c>
      <c r="N6" s="304"/>
      <c r="P6" s="71" t="s">
        <v>489</v>
      </c>
    </row>
    <row r="7" spans="1:17" s="38" customFormat="1" ht="45" x14ac:dyDescent="0.25">
      <c r="B7" s="6" t="s">
        <v>165</v>
      </c>
      <c r="C7" s="260" t="s">
        <v>491</v>
      </c>
      <c r="D7" s="300" t="s">
        <v>550</v>
      </c>
      <c r="E7" s="260" t="s">
        <v>551</v>
      </c>
      <c r="F7" s="300" t="s">
        <v>552</v>
      </c>
      <c r="G7" s="300" t="s">
        <v>553</v>
      </c>
      <c r="H7" s="300" t="s">
        <v>554</v>
      </c>
      <c r="I7" s="260" t="s">
        <v>167</v>
      </c>
      <c r="J7" s="260" t="s">
        <v>222</v>
      </c>
      <c r="K7" s="307"/>
      <c r="L7" s="302" t="s">
        <v>555</v>
      </c>
      <c r="M7" s="259" t="s">
        <v>167</v>
      </c>
      <c r="N7" s="77" t="s">
        <v>556</v>
      </c>
      <c r="O7" s="307"/>
      <c r="P7" s="78"/>
      <c r="Q7"/>
    </row>
    <row r="8" spans="1:17" s="47" customFormat="1" x14ac:dyDescent="0.25">
      <c r="B8" s="51" t="s">
        <v>169</v>
      </c>
      <c r="C8" s="247"/>
      <c r="D8" s="301" t="s">
        <v>557</v>
      </c>
      <c r="E8" s="301"/>
      <c r="F8" s="301" t="s">
        <v>557</v>
      </c>
      <c r="G8" s="301" t="s">
        <v>557</v>
      </c>
      <c r="H8" s="301" t="s">
        <v>557</v>
      </c>
      <c r="I8" s="247"/>
      <c r="J8" s="248"/>
      <c r="K8" s="306"/>
      <c r="L8" s="247"/>
      <c r="M8" s="247"/>
      <c r="N8" s="52"/>
      <c r="O8" s="306"/>
      <c r="P8" s="67"/>
    </row>
    <row r="9" spans="1:17" s="47" customFormat="1" x14ac:dyDescent="0.25">
      <c r="B9" s="51" t="s">
        <v>171</v>
      </c>
      <c r="C9" s="248" t="s">
        <v>172</v>
      </c>
      <c r="D9" s="301" t="s">
        <v>557</v>
      </c>
      <c r="E9" s="301"/>
      <c r="F9" s="301" t="s">
        <v>557</v>
      </c>
      <c r="G9" s="301" t="s">
        <v>557</v>
      </c>
      <c r="H9" s="301" t="s">
        <v>557</v>
      </c>
      <c r="I9" s="248"/>
      <c r="J9" s="248" t="s">
        <v>236</v>
      </c>
      <c r="K9" s="306"/>
      <c r="L9" s="289" t="s">
        <v>239</v>
      </c>
      <c r="M9" s="289" t="s">
        <v>236</v>
      </c>
      <c r="N9" s="56"/>
      <c r="O9" s="306"/>
      <c r="P9" s="68"/>
    </row>
    <row r="10" spans="1:17" x14ac:dyDescent="0.25">
      <c r="B10" s="6" t="s">
        <v>237</v>
      </c>
      <c r="C10" s="250"/>
      <c r="D10" s="301" t="s">
        <v>557</v>
      </c>
      <c r="E10" s="301"/>
      <c r="F10" s="301" t="s">
        <v>557</v>
      </c>
      <c r="G10" s="301" t="s">
        <v>557</v>
      </c>
      <c r="H10" s="301" t="s">
        <v>557</v>
      </c>
      <c r="I10" s="250"/>
      <c r="J10" s="249"/>
      <c r="L10" s="250" t="s">
        <v>173</v>
      </c>
      <c r="M10" s="250" t="s">
        <v>241</v>
      </c>
      <c r="N10" s="33"/>
      <c r="P10" s="69"/>
    </row>
    <row r="11" spans="1:17" ht="45" x14ac:dyDescent="0.25">
      <c r="A11" s="6" t="s">
        <v>178</v>
      </c>
      <c r="B11" s="6" t="s">
        <v>301</v>
      </c>
      <c r="C11" s="292" t="s">
        <v>501</v>
      </c>
      <c r="D11" s="301" t="s">
        <v>557</v>
      </c>
      <c r="E11" s="292" t="s">
        <v>558</v>
      </c>
      <c r="F11" s="301" t="s">
        <v>557</v>
      </c>
      <c r="G11" s="301" t="s">
        <v>557</v>
      </c>
      <c r="H11" s="301" t="s">
        <v>557</v>
      </c>
      <c r="I11" s="249" t="s">
        <v>240</v>
      </c>
      <c r="J11" s="249" t="s">
        <v>404</v>
      </c>
      <c r="L11" s="250" t="s">
        <v>500</v>
      </c>
      <c r="M11" s="251" t="s">
        <v>495</v>
      </c>
      <c r="N11" s="7" t="s">
        <v>322</v>
      </c>
      <c r="P11" s="70" t="s">
        <v>559</v>
      </c>
    </row>
    <row r="12" spans="1:17" x14ac:dyDescent="0.25">
      <c r="A12" s="6">
        <v>1</v>
      </c>
      <c r="B12" s="105" t="s">
        <v>560</v>
      </c>
      <c r="C12" s="105" t="s">
        <v>561</v>
      </c>
      <c r="D12" s="73"/>
      <c r="E12" s="108"/>
      <c r="F12" s="108"/>
      <c r="G12" s="108"/>
      <c r="H12" s="108"/>
      <c r="I12" s="108"/>
      <c r="J12" s="105" t="s">
        <v>308</v>
      </c>
      <c r="L12" s="105" t="b">
        <v>1</v>
      </c>
      <c r="M12" s="104" t="s">
        <v>514</v>
      </c>
      <c r="N12" s="73"/>
      <c r="P12" s="113" t="s">
        <v>562</v>
      </c>
    </row>
    <row r="13" spans="1:17" x14ac:dyDescent="0.25">
      <c r="A13" s="6">
        <v>2</v>
      </c>
      <c r="B13" s="105" t="s">
        <v>560</v>
      </c>
      <c r="C13" s="105" t="s">
        <v>563</v>
      </c>
      <c r="D13" s="73"/>
      <c r="E13" s="108"/>
      <c r="F13" s="108"/>
      <c r="G13" s="108"/>
      <c r="H13" s="108"/>
      <c r="I13" s="108"/>
      <c r="J13" s="105" t="s">
        <v>308</v>
      </c>
      <c r="L13" s="105" t="b">
        <v>1</v>
      </c>
      <c r="M13" s="104" t="s">
        <v>564</v>
      </c>
      <c r="N13" s="73"/>
      <c r="P13" s="113" t="s">
        <v>565</v>
      </c>
      <c r="Q13" s="115" t="s">
        <v>566</v>
      </c>
    </row>
    <row r="14" spans="1:17" x14ac:dyDescent="0.25">
      <c r="A14" s="6">
        <v>3</v>
      </c>
      <c r="B14" s="105" t="s">
        <v>560</v>
      </c>
      <c r="C14" s="105" t="s">
        <v>567</v>
      </c>
      <c r="D14" s="73"/>
      <c r="E14" s="108"/>
      <c r="F14" s="108"/>
      <c r="G14" s="108"/>
      <c r="H14" s="108"/>
      <c r="I14" s="108"/>
      <c r="J14" s="105" t="s">
        <v>308</v>
      </c>
      <c r="L14" s="105" t="b">
        <v>1</v>
      </c>
      <c r="M14" s="104" t="s">
        <v>516</v>
      </c>
      <c r="N14" s="73"/>
      <c r="P14" s="113" t="s">
        <v>568</v>
      </c>
      <c r="Q14" s="72"/>
    </row>
    <row r="15" spans="1:17" x14ac:dyDescent="0.25">
      <c r="A15" s="6">
        <v>4</v>
      </c>
      <c r="B15" s="105" t="s">
        <v>560</v>
      </c>
      <c r="C15" s="105" t="s">
        <v>569</v>
      </c>
      <c r="D15" s="73"/>
      <c r="E15" s="108"/>
      <c r="F15" s="108"/>
      <c r="G15" s="108"/>
      <c r="H15" s="108"/>
      <c r="I15" s="108"/>
      <c r="J15" s="105" t="s">
        <v>308</v>
      </c>
      <c r="L15" s="105" t="b">
        <v>1</v>
      </c>
      <c r="M15" s="104" t="s">
        <v>189</v>
      </c>
      <c r="N15" s="73"/>
      <c r="P15" s="113" t="s">
        <v>570</v>
      </c>
      <c r="Q15" s="72"/>
    </row>
    <row r="16" spans="1:17" x14ac:dyDescent="0.25">
      <c r="A16" s="6">
        <v>5</v>
      </c>
      <c r="B16" s="105" t="s">
        <v>560</v>
      </c>
      <c r="C16" s="105" t="s">
        <v>571</v>
      </c>
      <c r="D16" s="73"/>
      <c r="E16" s="108"/>
      <c r="F16" s="108"/>
      <c r="G16" s="108"/>
      <c r="H16" s="108"/>
      <c r="I16" s="108"/>
      <c r="J16" s="105" t="s">
        <v>308</v>
      </c>
      <c r="L16" s="105" t="b">
        <v>1</v>
      </c>
      <c r="M16" s="104" t="s">
        <v>572</v>
      </c>
      <c r="N16" s="73"/>
      <c r="P16" s="113" t="s">
        <v>573</v>
      </c>
      <c r="Q16" s="72"/>
    </row>
    <row r="17" spans="1:17" x14ac:dyDescent="0.25">
      <c r="A17" s="6">
        <v>6</v>
      </c>
      <c r="B17" s="105" t="s">
        <v>560</v>
      </c>
      <c r="C17" s="105" t="s">
        <v>574</v>
      </c>
      <c r="D17" s="73"/>
      <c r="E17" s="108"/>
      <c r="F17" s="108"/>
      <c r="G17" s="108"/>
      <c r="H17" s="108"/>
      <c r="I17" s="108"/>
      <c r="J17" s="105" t="s">
        <v>308</v>
      </c>
      <c r="L17" s="105" t="b">
        <v>1</v>
      </c>
      <c r="M17" s="104" t="s">
        <v>517</v>
      </c>
      <c r="N17" s="73"/>
      <c r="P17" s="113" t="s">
        <v>575</v>
      </c>
      <c r="Q17" s="72"/>
    </row>
    <row r="18" spans="1:17" x14ac:dyDescent="0.25">
      <c r="A18" s="6">
        <v>7</v>
      </c>
      <c r="B18" s="105" t="s">
        <v>560</v>
      </c>
      <c r="C18" s="105" t="s">
        <v>576</v>
      </c>
      <c r="D18" s="73"/>
      <c r="E18" s="108">
        <v>10</v>
      </c>
      <c r="F18" s="108"/>
      <c r="G18" s="108"/>
      <c r="H18" s="108"/>
      <c r="I18" s="108"/>
      <c r="J18" s="105" t="s">
        <v>308</v>
      </c>
      <c r="L18" s="105" t="b">
        <v>1</v>
      </c>
      <c r="M18" s="104" t="s">
        <v>577</v>
      </c>
      <c r="N18" s="73"/>
      <c r="P18" s="113" t="s">
        <v>578</v>
      </c>
      <c r="Q18" s="72"/>
    </row>
    <row r="19" spans="1:17" x14ac:dyDescent="0.25">
      <c r="A19" s="6">
        <v>8</v>
      </c>
      <c r="B19" s="105" t="s">
        <v>560</v>
      </c>
      <c r="C19" s="105" t="s">
        <v>576</v>
      </c>
      <c r="D19" s="73"/>
      <c r="E19" s="108">
        <v>40</v>
      </c>
      <c r="F19" s="108"/>
      <c r="G19" s="108"/>
      <c r="H19" s="108"/>
      <c r="I19" s="108"/>
      <c r="J19" s="105" t="s">
        <v>308</v>
      </c>
      <c r="L19" s="105" t="b">
        <v>1</v>
      </c>
      <c r="M19" s="104" t="s">
        <v>579</v>
      </c>
      <c r="N19" s="73"/>
      <c r="P19" s="113" t="s">
        <v>578</v>
      </c>
      <c r="Q19" s="72"/>
    </row>
    <row r="20" spans="1:17" x14ac:dyDescent="0.25">
      <c r="A20" s="6">
        <v>9</v>
      </c>
      <c r="B20" s="105" t="s">
        <v>560</v>
      </c>
      <c r="C20" s="105" t="s">
        <v>580</v>
      </c>
      <c r="D20" s="73"/>
      <c r="E20" s="108"/>
      <c r="F20" s="108"/>
      <c r="G20" s="108"/>
      <c r="H20" s="108"/>
      <c r="I20" s="108"/>
      <c r="J20" s="105" t="s">
        <v>308</v>
      </c>
      <c r="L20" s="105" t="b">
        <v>1</v>
      </c>
      <c r="M20" s="104" t="s">
        <v>514</v>
      </c>
      <c r="N20" s="73"/>
      <c r="P20" s="113" t="s">
        <v>581</v>
      </c>
      <c r="Q20" s="72"/>
    </row>
    <row r="21" spans="1:17" x14ac:dyDescent="0.25">
      <c r="A21" s="107"/>
      <c r="B21" s="107"/>
      <c r="C21" s="120"/>
      <c r="D21" s="73"/>
      <c r="E21" s="117"/>
      <c r="F21" s="117"/>
      <c r="G21" s="117"/>
      <c r="H21" s="117"/>
      <c r="I21" s="117"/>
      <c r="J21" s="120"/>
      <c r="K21"/>
      <c r="L21" s="120"/>
      <c r="M21" s="121"/>
      <c r="N21" s="73"/>
      <c r="O21"/>
      <c r="P21" s="379"/>
      <c r="Q21" s="72"/>
    </row>
    <row r="22" spans="1:17" x14ac:dyDescent="0.25">
      <c r="A22" s="6"/>
      <c r="B22" s="418" t="s">
        <v>582</v>
      </c>
      <c r="C22" s="419"/>
      <c r="D22" s="419"/>
      <c r="E22" s="419"/>
      <c r="F22" s="419"/>
      <c r="G22" s="419"/>
      <c r="H22" s="419"/>
      <c r="I22" s="419"/>
      <c r="J22" s="419"/>
      <c r="K22" s="419"/>
      <c r="L22" s="419"/>
      <c r="M22" s="419"/>
      <c r="N22" s="419"/>
      <c r="O22" s="419"/>
      <c r="P22" s="420"/>
      <c r="Q22" s="72"/>
    </row>
    <row r="23" spans="1:17" x14ac:dyDescent="0.25">
      <c r="A23" s="6">
        <v>10</v>
      </c>
      <c r="B23" s="105" t="s">
        <v>560</v>
      </c>
      <c r="C23" s="105" t="s">
        <v>561</v>
      </c>
      <c r="D23" s="88"/>
      <c r="E23" s="108"/>
      <c r="F23" s="108"/>
      <c r="G23" s="108"/>
      <c r="H23" s="108"/>
      <c r="I23" s="108"/>
      <c r="J23" s="105" t="s">
        <v>289</v>
      </c>
      <c r="L23" s="105" t="b">
        <v>0</v>
      </c>
      <c r="M23" s="104" t="s">
        <v>514</v>
      </c>
      <c r="N23" s="73"/>
      <c r="P23" s="113" t="s">
        <v>562</v>
      </c>
      <c r="Q23" s="115" t="s">
        <v>583</v>
      </c>
    </row>
    <row r="24" spans="1:17" x14ac:dyDescent="0.25">
      <c r="A24" s="6">
        <v>11</v>
      </c>
      <c r="B24" s="105" t="s">
        <v>560</v>
      </c>
      <c r="C24" s="105" t="s">
        <v>563</v>
      </c>
      <c r="D24" s="88"/>
      <c r="E24" s="108"/>
      <c r="F24" s="108"/>
      <c r="G24" s="108"/>
      <c r="H24" s="108"/>
      <c r="I24" s="108"/>
      <c r="J24" s="105" t="s">
        <v>289</v>
      </c>
      <c r="L24" s="105" t="b">
        <v>0</v>
      </c>
      <c r="M24" s="104"/>
      <c r="N24" s="73"/>
      <c r="P24" s="113" t="s">
        <v>565</v>
      </c>
      <c r="Q24" s="72"/>
    </row>
    <row r="25" spans="1:17" x14ac:dyDescent="0.25">
      <c r="A25" s="6">
        <v>12</v>
      </c>
      <c r="B25" s="105" t="s">
        <v>560</v>
      </c>
      <c r="C25" s="105" t="s">
        <v>567</v>
      </c>
      <c r="D25" s="88"/>
      <c r="E25" s="108"/>
      <c r="F25" s="108"/>
      <c r="G25" s="108"/>
      <c r="H25" s="108"/>
      <c r="I25" s="108"/>
      <c r="J25" s="105" t="s">
        <v>289</v>
      </c>
      <c r="L25" s="105" t="b">
        <v>1</v>
      </c>
      <c r="M25" s="104" t="s">
        <v>516</v>
      </c>
      <c r="N25" s="73"/>
      <c r="P25" s="113" t="s">
        <v>568</v>
      </c>
      <c r="Q25" s="72"/>
    </row>
    <row r="26" spans="1:17" x14ac:dyDescent="0.25">
      <c r="A26" s="6">
        <v>13</v>
      </c>
      <c r="B26" s="105" t="s">
        <v>560</v>
      </c>
      <c r="C26" s="105" t="s">
        <v>569</v>
      </c>
      <c r="D26" s="88"/>
      <c r="E26" s="108"/>
      <c r="F26" s="108"/>
      <c r="G26" s="108"/>
      <c r="H26" s="108"/>
      <c r="I26" s="108"/>
      <c r="J26" s="105" t="s">
        <v>289</v>
      </c>
      <c r="L26" s="105" t="b">
        <v>1</v>
      </c>
      <c r="M26" s="104" t="s">
        <v>189</v>
      </c>
      <c r="N26" s="73"/>
      <c r="P26" s="113" t="s">
        <v>570</v>
      </c>
      <c r="Q26" s="72"/>
    </row>
    <row r="27" spans="1:17" x14ac:dyDescent="0.25">
      <c r="A27" s="6">
        <v>14</v>
      </c>
      <c r="B27" s="105" t="s">
        <v>560</v>
      </c>
      <c r="C27" s="105" t="s">
        <v>571</v>
      </c>
      <c r="D27" s="88"/>
      <c r="E27" s="108"/>
      <c r="F27" s="108"/>
      <c r="G27" s="108"/>
      <c r="H27" s="108"/>
      <c r="I27" s="108"/>
      <c r="J27" s="105" t="s">
        <v>289</v>
      </c>
      <c r="L27" s="105" t="b">
        <v>1</v>
      </c>
      <c r="M27" s="104" t="s">
        <v>572</v>
      </c>
      <c r="N27" s="73"/>
      <c r="P27" s="113" t="s">
        <v>573</v>
      </c>
      <c r="Q27" s="72"/>
    </row>
    <row r="28" spans="1:17" x14ac:dyDescent="0.25">
      <c r="A28" s="6">
        <v>15</v>
      </c>
      <c r="B28" s="105" t="s">
        <v>560</v>
      </c>
      <c r="C28" s="105" t="s">
        <v>574</v>
      </c>
      <c r="D28" s="88"/>
      <c r="E28" s="108"/>
      <c r="F28" s="108"/>
      <c r="G28" s="108"/>
      <c r="H28" s="108"/>
      <c r="I28" s="108"/>
      <c r="J28" s="105" t="s">
        <v>289</v>
      </c>
      <c r="L28" s="105" t="b">
        <v>1</v>
      </c>
      <c r="M28" s="104" t="s">
        <v>517</v>
      </c>
      <c r="N28" s="73"/>
      <c r="P28" s="113" t="s">
        <v>575</v>
      </c>
      <c r="Q28" s="72"/>
    </row>
    <row r="29" spans="1:17" x14ac:dyDescent="0.25">
      <c r="A29" s="6">
        <v>16</v>
      </c>
      <c r="B29" s="105" t="s">
        <v>560</v>
      </c>
      <c r="C29" s="105" t="s">
        <v>576</v>
      </c>
      <c r="D29" s="88"/>
      <c r="E29" s="108">
        <v>10</v>
      </c>
      <c r="F29" s="108"/>
      <c r="G29" s="108"/>
      <c r="H29" s="108"/>
      <c r="I29" s="108"/>
      <c r="J29" s="105" t="s">
        <v>289</v>
      </c>
      <c r="L29" s="105" t="b">
        <v>1</v>
      </c>
      <c r="M29" s="104" t="s">
        <v>577</v>
      </c>
      <c r="N29" s="73"/>
      <c r="P29" s="113" t="s">
        <v>578</v>
      </c>
      <c r="Q29" s="72"/>
    </row>
    <row r="30" spans="1:17" x14ac:dyDescent="0.25">
      <c r="A30" s="6">
        <v>17</v>
      </c>
      <c r="B30" s="105" t="s">
        <v>560</v>
      </c>
      <c r="C30" s="105" t="s">
        <v>576</v>
      </c>
      <c r="D30" s="88"/>
      <c r="E30" s="108">
        <v>40</v>
      </c>
      <c r="F30" s="108"/>
      <c r="G30" s="108"/>
      <c r="H30" s="108"/>
      <c r="I30" s="108"/>
      <c r="J30" s="105" t="s">
        <v>289</v>
      </c>
      <c r="L30" s="105" t="b">
        <v>1</v>
      </c>
      <c r="M30" s="104" t="s">
        <v>579</v>
      </c>
      <c r="N30" s="73"/>
      <c r="P30" s="113" t="s">
        <v>578</v>
      </c>
      <c r="Q30" s="72"/>
    </row>
    <row r="31" spans="1:17" x14ac:dyDescent="0.25">
      <c r="A31" s="6">
        <v>18</v>
      </c>
      <c r="B31" s="105" t="s">
        <v>560</v>
      </c>
      <c r="C31" s="105" t="s">
        <v>580</v>
      </c>
      <c r="D31" s="88"/>
      <c r="E31" s="108"/>
      <c r="F31" s="108"/>
      <c r="G31" s="108"/>
      <c r="H31" s="108"/>
      <c r="I31" s="108"/>
      <c r="J31" s="105" t="s">
        <v>289</v>
      </c>
      <c r="L31" s="105" t="b">
        <v>1</v>
      </c>
      <c r="M31" s="104" t="s">
        <v>514</v>
      </c>
      <c r="N31" s="73"/>
      <c r="P31" s="113" t="s">
        <v>581</v>
      </c>
      <c r="Q31" s="72"/>
    </row>
    <row r="32" spans="1:17" x14ac:dyDescent="0.25">
      <c r="A32" s="6">
        <v>19</v>
      </c>
      <c r="B32" s="105" t="s">
        <v>560</v>
      </c>
      <c r="C32" s="108" t="s">
        <v>584</v>
      </c>
      <c r="D32" s="88"/>
      <c r="E32" s="108"/>
      <c r="F32" s="108"/>
      <c r="G32" s="108"/>
      <c r="H32" s="108"/>
      <c r="I32" s="108"/>
      <c r="J32" s="108" t="s">
        <v>289</v>
      </c>
      <c r="L32" s="108" t="b">
        <v>1</v>
      </c>
      <c r="M32" s="110" t="s">
        <v>514</v>
      </c>
      <c r="N32" s="73"/>
      <c r="P32" s="112" t="s">
        <v>585</v>
      </c>
      <c r="Q32" s="72"/>
    </row>
    <row r="33" spans="1:17" x14ac:dyDescent="0.25">
      <c r="A33" s="6">
        <v>20</v>
      </c>
      <c r="B33" s="105" t="s">
        <v>560</v>
      </c>
      <c r="C33" s="109" t="s">
        <v>586</v>
      </c>
      <c r="D33" s="88"/>
      <c r="E33" s="108"/>
      <c r="F33" s="108"/>
      <c r="G33" s="108"/>
      <c r="H33" s="108"/>
      <c r="I33" s="108"/>
      <c r="J33" s="105" t="s">
        <v>289</v>
      </c>
      <c r="L33" s="109" t="b">
        <v>0</v>
      </c>
      <c r="M33" s="111" t="s">
        <v>514</v>
      </c>
      <c r="N33" s="73"/>
      <c r="P33" s="114" t="s">
        <v>587</v>
      </c>
      <c r="Q33" s="115" t="s">
        <v>583</v>
      </c>
    </row>
    <row r="34" spans="1:17" x14ac:dyDescent="0.25">
      <c r="A34" s="6">
        <v>21</v>
      </c>
      <c r="B34" s="105" t="s">
        <v>560</v>
      </c>
      <c r="C34" s="105" t="s">
        <v>584</v>
      </c>
      <c r="D34" s="73"/>
      <c r="E34" s="108"/>
      <c r="F34" s="108"/>
      <c r="G34" s="108"/>
      <c r="H34" s="108"/>
      <c r="I34" s="108"/>
      <c r="J34" s="105" t="s">
        <v>308</v>
      </c>
      <c r="L34" s="105" t="b">
        <v>1</v>
      </c>
      <c r="M34" s="104" t="s">
        <v>514</v>
      </c>
      <c r="N34" s="73"/>
      <c r="P34" s="113" t="s">
        <v>585</v>
      </c>
      <c r="Q34" s="72"/>
    </row>
    <row r="35" spans="1:17" x14ac:dyDescent="0.25">
      <c r="A35" s="6">
        <v>22</v>
      </c>
      <c r="B35" s="105" t="s">
        <v>560</v>
      </c>
      <c r="C35" s="109" t="s">
        <v>586</v>
      </c>
      <c r="D35" s="73"/>
      <c r="E35" s="108"/>
      <c r="F35" s="108"/>
      <c r="G35" s="108"/>
      <c r="H35" s="108"/>
      <c r="I35" s="108"/>
      <c r="J35" s="105" t="s">
        <v>308</v>
      </c>
      <c r="L35" s="109" t="b">
        <v>0</v>
      </c>
      <c r="M35" s="111" t="s">
        <v>514</v>
      </c>
      <c r="N35" s="73"/>
      <c r="P35" s="114" t="s">
        <v>587</v>
      </c>
      <c r="Q35" s="115" t="s">
        <v>583</v>
      </c>
    </row>
    <row r="36" spans="1:17" x14ac:dyDescent="0.25">
      <c r="A36" s="6"/>
      <c r="B36" s="105"/>
      <c r="C36" s="105"/>
      <c r="D36" s="88"/>
      <c r="E36" s="108"/>
      <c r="F36" s="108"/>
      <c r="G36" s="108"/>
      <c r="H36" s="108"/>
      <c r="I36" s="108"/>
      <c r="J36" s="105"/>
      <c r="L36" s="105"/>
      <c r="M36" s="104"/>
      <c r="N36" s="73"/>
      <c r="P36" s="113"/>
      <c r="Q36" s="72"/>
    </row>
    <row r="37" spans="1:17" x14ac:dyDescent="0.25">
      <c r="A37" s="6"/>
      <c r="B37" s="105"/>
      <c r="C37" s="105"/>
      <c r="D37" s="88"/>
      <c r="E37" s="108"/>
      <c r="F37" s="108"/>
      <c r="G37" s="108"/>
      <c r="H37" s="108"/>
      <c r="I37" s="108"/>
      <c r="J37" s="105"/>
      <c r="L37" s="105"/>
      <c r="M37" s="104"/>
      <c r="N37" s="73"/>
      <c r="P37" s="113"/>
      <c r="Q37" s="72"/>
    </row>
    <row r="38" spans="1:17" x14ac:dyDescent="0.25">
      <c r="A38" s="6"/>
      <c r="B38" s="105"/>
      <c r="C38" s="105"/>
      <c r="D38" s="88"/>
      <c r="E38" s="108"/>
      <c r="F38" s="108"/>
      <c r="G38" s="108"/>
      <c r="H38" s="108"/>
      <c r="I38" s="108"/>
      <c r="J38" s="105"/>
      <c r="L38" s="105"/>
      <c r="M38" s="104"/>
      <c r="N38" s="73"/>
      <c r="P38" s="113"/>
      <c r="Q38" s="72"/>
    </row>
    <row r="39" spans="1:17" x14ac:dyDescent="0.25">
      <c r="A39" s="6">
        <v>23</v>
      </c>
      <c r="B39" s="6" t="s">
        <v>560</v>
      </c>
      <c r="C39" s="105" t="s">
        <v>588</v>
      </c>
      <c r="D39" s="88"/>
      <c r="E39" s="108"/>
      <c r="F39" s="108"/>
      <c r="G39" s="108"/>
      <c r="H39" s="108"/>
      <c r="I39" s="108"/>
      <c r="J39" s="105" t="s">
        <v>289</v>
      </c>
      <c r="L39" s="105" t="b">
        <v>0</v>
      </c>
      <c r="M39" s="104"/>
      <c r="N39" s="73"/>
      <c r="P39" s="113" t="s">
        <v>589</v>
      </c>
      <c r="Q39" s="72"/>
    </row>
    <row r="40" spans="1:17" x14ac:dyDescent="0.25">
      <c r="A40" s="6">
        <v>24</v>
      </c>
      <c r="B40" s="6" t="s">
        <v>560</v>
      </c>
      <c r="C40" s="105" t="s">
        <v>590</v>
      </c>
      <c r="D40" s="88"/>
      <c r="E40" s="108"/>
      <c r="F40" s="108"/>
      <c r="G40" s="108"/>
      <c r="H40" s="108"/>
      <c r="I40" s="108"/>
      <c r="J40" s="105" t="s">
        <v>289</v>
      </c>
      <c r="L40" s="105" t="b">
        <v>0</v>
      </c>
      <c r="M40" s="104"/>
      <c r="N40" s="73"/>
      <c r="P40" s="113" t="s">
        <v>591</v>
      </c>
      <c r="Q40" s="72"/>
    </row>
    <row r="41" spans="1:17" x14ac:dyDescent="0.25">
      <c r="A41" s="6">
        <v>25</v>
      </c>
      <c r="B41" s="6" t="s">
        <v>560</v>
      </c>
      <c r="C41" s="105" t="s">
        <v>592</v>
      </c>
      <c r="D41" s="88"/>
      <c r="E41" s="108"/>
      <c r="F41" s="108"/>
      <c r="G41" s="108"/>
      <c r="H41" s="108"/>
      <c r="I41" s="108"/>
      <c r="J41" s="105" t="s">
        <v>289</v>
      </c>
      <c r="L41" s="105" t="b">
        <v>1</v>
      </c>
      <c r="M41" s="104" t="s">
        <v>514</v>
      </c>
      <c r="N41" s="73"/>
      <c r="P41" s="113" t="s">
        <v>593</v>
      </c>
      <c r="Q41" s="72"/>
    </row>
    <row r="42" spans="1:17" x14ac:dyDescent="0.25">
      <c r="A42" s="6">
        <v>26</v>
      </c>
      <c r="B42" s="6" t="s">
        <v>560</v>
      </c>
      <c r="C42" s="109" t="s">
        <v>594</v>
      </c>
      <c r="D42" s="88"/>
      <c r="E42" s="108"/>
      <c r="F42" s="108"/>
      <c r="G42" s="108"/>
      <c r="H42" s="108"/>
      <c r="I42" s="108"/>
      <c r="J42" s="105" t="s">
        <v>289</v>
      </c>
      <c r="L42" s="109" t="b">
        <v>0</v>
      </c>
      <c r="M42" s="111" t="s">
        <v>514</v>
      </c>
      <c r="N42" s="64"/>
      <c r="P42" s="114" t="s">
        <v>595</v>
      </c>
      <c r="Q42" s="115" t="s">
        <v>583</v>
      </c>
    </row>
    <row r="43" spans="1:17" x14ac:dyDescent="0.25">
      <c r="A43" s="6">
        <v>27</v>
      </c>
      <c r="B43" s="6" t="s">
        <v>560</v>
      </c>
      <c r="C43" s="105" t="s">
        <v>596</v>
      </c>
      <c r="D43" s="88"/>
      <c r="E43" s="108"/>
      <c r="F43" s="108"/>
      <c r="G43" s="108"/>
      <c r="H43" s="108"/>
      <c r="I43" s="108"/>
      <c r="J43" s="105" t="s">
        <v>289</v>
      </c>
      <c r="L43" s="105" t="b">
        <v>1</v>
      </c>
      <c r="M43" s="104" t="s">
        <v>514</v>
      </c>
      <c r="N43" s="64"/>
      <c r="P43" s="113" t="s">
        <v>597</v>
      </c>
      <c r="Q43" s="72"/>
    </row>
    <row r="44" spans="1:17" x14ac:dyDescent="0.25">
      <c r="A44" s="6">
        <v>28</v>
      </c>
      <c r="B44" s="6" t="s">
        <v>560</v>
      </c>
      <c r="C44" s="105" t="s">
        <v>598</v>
      </c>
      <c r="D44" s="88"/>
      <c r="E44" s="108"/>
      <c r="F44" s="108"/>
      <c r="G44" s="108"/>
      <c r="H44" s="108"/>
      <c r="I44" s="108"/>
      <c r="J44" s="105" t="s">
        <v>289</v>
      </c>
      <c r="L44" s="105" t="b">
        <v>1</v>
      </c>
      <c r="M44" s="104" t="s">
        <v>514</v>
      </c>
      <c r="N44" s="64"/>
      <c r="P44" s="113" t="s">
        <v>599</v>
      </c>
      <c r="Q44" s="72"/>
    </row>
    <row r="45" spans="1:17" x14ac:dyDescent="0.25">
      <c r="A45" s="6">
        <v>29</v>
      </c>
      <c r="B45" s="6" t="s">
        <v>560</v>
      </c>
      <c r="C45" s="109" t="s">
        <v>600</v>
      </c>
      <c r="D45" s="88"/>
      <c r="E45" s="108"/>
      <c r="F45" s="108"/>
      <c r="G45" s="108"/>
      <c r="H45" s="108"/>
      <c r="I45" s="108"/>
      <c r="J45" s="105" t="s">
        <v>289</v>
      </c>
      <c r="L45" s="109" t="b">
        <v>0</v>
      </c>
      <c r="M45" s="111" t="s">
        <v>514</v>
      </c>
      <c r="N45" s="64"/>
      <c r="P45" s="114" t="s">
        <v>601</v>
      </c>
      <c r="Q45" s="115" t="s">
        <v>583</v>
      </c>
    </row>
    <row r="46" spans="1:17" x14ac:dyDescent="0.25">
      <c r="A46" s="6">
        <v>30</v>
      </c>
      <c r="B46" s="6" t="s">
        <v>560</v>
      </c>
      <c r="C46" s="105" t="s">
        <v>602</v>
      </c>
      <c r="D46" s="88"/>
      <c r="E46" s="108"/>
      <c r="F46" s="108"/>
      <c r="G46" s="108"/>
      <c r="H46" s="108"/>
      <c r="I46" s="108"/>
      <c r="J46" s="105" t="s">
        <v>289</v>
      </c>
      <c r="L46" s="105" t="b">
        <v>1</v>
      </c>
      <c r="M46" s="104" t="s">
        <v>514</v>
      </c>
      <c r="N46" s="73"/>
      <c r="P46" s="113" t="s">
        <v>603</v>
      </c>
      <c r="Q46" s="72"/>
    </row>
    <row r="47" spans="1:17" x14ac:dyDescent="0.25">
      <c r="A47" s="6">
        <v>31</v>
      </c>
      <c r="B47" s="6" t="s">
        <v>560</v>
      </c>
      <c r="C47" s="105" t="s">
        <v>604</v>
      </c>
      <c r="D47" s="88"/>
      <c r="E47" s="108"/>
      <c r="F47" s="108"/>
      <c r="G47" s="108"/>
      <c r="H47" s="108"/>
      <c r="I47" s="108"/>
      <c r="J47" s="105" t="s">
        <v>289</v>
      </c>
      <c r="L47" s="105" t="b">
        <v>1</v>
      </c>
      <c r="M47" s="104" t="s">
        <v>514</v>
      </c>
      <c r="N47" s="64"/>
      <c r="P47" s="113" t="s">
        <v>605</v>
      </c>
      <c r="Q47" s="72"/>
    </row>
    <row r="48" spans="1:17" x14ac:dyDescent="0.25">
      <c r="A48" s="6">
        <v>32</v>
      </c>
      <c r="B48" s="6" t="s">
        <v>560</v>
      </c>
      <c r="C48" s="105" t="s">
        <v>606</v>
      </c>
      <c r="D48" s="88"/>
      <c r="E48" s="108"/>
      <c r="F48" s="108"/>
      <c r="G48" s="108"/>
      <c r="H48" s="108"/>
      <c r="I48" s="108"/>
      <c r="J48" s="105" t="s">
        <v>289</v>
      </c>
      <c r="L48" s="105" t="b">
        <v>0</v>
      </c>
      <c r="M48" s="104" t="s">
        <v>514</v>
      </c>
      <c r="N48" s="64"/>
      <c r="P48" s="113" t="s">
        <v>607</v>
      </c>
      <c r="Q48" s="115" t="s">
        <v>583</v>
      </c>
    </row>
    <row r="49" spans="1:17" x14ac:dyDescent="0.25">
      <c r="A49" s="6">
        <v>33</v>
      </c>
      <c r="B49" s="6" t="s">
        <v>560</v>
      </c>
      <c r="C49" s="105" t="s">
        <v>608</v>
      </c>
      <c r="D49" s="88"/>
      <c r="E49" s="108"/>
      <c r="F49" s="108"/>
      <c r="G49" s="108"/>
      <c r="H49" s="108"/>
      <c r="I49" s="108"/>
      <c r="J49" s="105" t="s">
        <v>289</v>
      </c>
      <c r="L49" s="105" t="b">
        <v>1</v>
      </c>
      <c r="M49" s="104" t="s">
        <v>514</v>
      </c>
      <c r="N49" s="73"/>
      <c r="P49" s="113" t="s">
        <v>609</v>
      </c>
      <c r="Q49" s="72"/>
    </row>
    <row r="50" spans="1:17" x14ac:dyDescent="0.25">
      <c r="A50" s="6">
        <v>34</v>
      </c>
      <c r="B50" s="6" t="s">
        <v>560</v>
      </c>
      <c r="C50" s="105" t="s">
        <v>610</v>
      </c>
      <c r="D50" s="88"/>
      <c r="E50" s="108"/>
      <c r="F50" s="108"/>
      <c r="G50" s="108"/>
      <c r="H50" s="108"/>
      <c r="I50" s="108"/>
      <c r="J50" s="105" t="s">
        <v>289</v>
      </c>
      <c r="L50" s="105" t="b">
        <v>1</v>
      </c>
      <c r="M50" s="104" t="s">
        <v>514</v>
      </c>
      <c r="N50" s="73"/>
      <c r="P50" s="113" t="s">
        <v>611</v>
      </c>
      <c r="Q50" s="72"/>
    </row>
    <row r="51" spans="1:17" x14ac:dyDescent="0.25">
      <c r="A51" s="6">
        <v>35</v>
      </c>
      <c r="B51" s="6" t="s">
        <v>560</v>
      </c>
      <c r="C51" s="105" t="s">
        <v>588</v>
      </c>
      <c r="D51" s="73"/>
      <c r="E51" s="108"/>
      <c r="F51" s="108"/>
      <c r="G51" s="108"/>
      <c r="H51" s="108"/>
      <c r="I51" s="108"/>
      <c r="J51" s="105" t="s">
        <v>308</v>
      </c>
      <c r="L51" s="105" t="b">
        <v>0</v>
      </c>
      <c r="M51" s="104" t="s">
        <v>612</v>
      </c>
      <c r="N51" s="73"/>
      <c r="P51" s="113" t="s">
        <v>589</v>
      </c>
      <c r="Q51" s="72"/>
    </row>
    <row r="52" spans="1:17" x14ac:dyDescent="0.25">
      <c r="A52" s="6">
        <v>36</v>
      </c>
      <c r="B52" s="6" t="s">
        <v>560</v>
      </c>
      <c r="C52" s="105" t="s">
        <v>590</v>
      </c>
      <c r="D52" s="73"/>
      <c r="E52" s="108"/>
      <c r="F52" s="108"/>
      <c r="G52" s="108"/>
      <c r="H52" s="108"/>
      <c r="I52" s="108"/>
      <c r="J52" s="105" t="s">
        <v>308</v>
      </c>
      <c r="L52" s="105" t="b">
        <v>0</v>
      </c>
      <c r="M52" s="104" t="s">
        <v>612</v>
      </c>
      <c r="N52" s="73"/>
      <c r="P52" s="113" t="s">
        <v>591</v>
      </c>
      <c r="Q52" s="72"/>
    </row>
    <row r="53" spans="1:17" x14ac:dyDescent="0.25">
      <c r="A53" s="6">
        <v>37</v>
      </c>
      <c r="B53" s="6" t="s">
        <v>560</v>
      </c>
      <c r="C53" s="105" t="s">
        <v>592</v>
      </c>
      <c r="D53" s="73"/>
      <c r="E53" s="108"/>
      <c r="F53" s="108"/>
      <c r="G53" s="108"/>
      <c r="H53" s="108"/>
      <c r="I53" s="108"/>
      <c r="J53" s="105" t="s">
        <v>308</v>
      </c>
      <c r="L53" s="105" t="b">
        <v>1</v>
      </c>
      <c r="M53" s="104" t="s">
        <v>514</v>
      </c>
      <c r="N53" s="73"/>
      <c r="P53" s="113" t="s">
        <v>593</v>
      </c>
      <c r="Q53" s="72"/>
    </row>
    <row r="54" spans="1:17" x14ac:dyDescent="0.25">
      <c r="A54" s="6">
        <v>38</v>
      </c>
      <c r="B54" s="6" t="s">
        <v>560</v>
      </c>
      <c r="C54" s="109" t="s">
        <v>594</v>
      </c>
      <c r="D54" s="73"/>
      <c r="E54" s="108"/>
      <c r="F54" s="108"/>
      <c r="G54" s="108"/>
      <c r="H54" s="108"/>
      <c r="I54" s="108"/>
      <c r="J54" s="105" t="s">
        <v>308</v>
      </c>
      <c r="L54" s="109" t="b">
        <v>0</v>
      </c>
      <c r="M54" s="111" t="s">
        <v>514</v>
      </c>
      <c r="N54" s="73"/>
      <c r="P54" s="114" t="s">
        <v>595</v>
      </c>
      <c r="Q54" s="115" t="s">
        <v>583</v>
      </c>
    </row>
    <row r="55" spans="1:17" x14ac:dyDescent="0.25">
      <c r="A55" s="6">
        <v>39</v>
      </c>
      <c r="B55" s="6" t="s">
        <v>560</v>
      </c>
      <c r="C55" s="105" t="s">
        <v>596</v>
      </c>
      <c r="D55" s="73"/>
      <c r="E55" s="108"/>
      <c r="F55" s="108"/>
      <c r="G55" s="108"/>
      <c r="H55" s="108"/>
      <c r="I55" s="108"/>
      <c r="J55" s="105" t="s">
        <v>308</v>
      </c>
      <c r="L55" s="105" t="b">
        <v>1</v>
      </c>
      <c r="M55" s="104" t="s">
        <v>514</v>
      </c>
      <c r="N55" s="73"/>
      <c r="P55" s="113" t="s">
        <v>597</v>
      </c>
      <c r="Q55" s="72"/>
    </row>
    <row r="56" spans="1:17" x14ac:dyDescent="0.25">
      <c r="A56" s="6">
        <v>40</v>
      </c>
      <c r="B56" s="6" t="s">
        <v>560</v>
      </c>
      <c r="C56" s="105" t="s">
        <v>598</v>
      </c>
      <c r="D56" s="73"/>
      <c r="E56" s="108"/>
      <c r="F56" s="108"/>
      <c r="G56" s="108"/>
      <c r="H56" s="108"/>
      <c r="I56" s="108"/>
      <c r="J56" s="105" t="s">
        <v>308</v>
      </c>
      <c r="L56" s="105" t="b">
        <v>1</v>
      </c>
      <c r="M56" s="104" t="s">
        <v>514</v>
      </c>
      <c r="N56" s="73"/>
      <c r="P56" s="113" t="s">
        <v>599</v>
      </c>
      <c r="Q56" s="72"/>
    </row>
    <row r="57" spans="1:17" x14ac:dyDescent="0.25">
      <c r="A57" s="6">
        <v>41</v>
      </c>
      <c r="B57" s="6" t="s">
        <v>560</v>
      </c>
      <c r="C57" s="109" t="s">
        <v>600</v>
      </c>
      <c r="D57" s="73"/>
      <c r="E57" s="108"/>
      <c r="F57" s="108"/>
      <c r="G57" s="108"/>
      <c r="H57" s="108"/>
      <c r="I57" s="108"/>
      <c r="J57" s="105" t="s">
        <v>308</v>
      </c>
      <c r="L57" s="109" t="b">
        <v>0</v>
      </c>
      <c r="M57" s="111" t="s">
        <v>514</v>
      </c>
      <c r="N57" s="73"/>
      <c r="P57" s="114" t="s">
        <v>601</v>
      </c>
      <c r="Q57" s="115" t="s">
        <v>583</v>
      </c>
    </row>
    <row r="58" spans="1:17" x14ac:dyDescent="0.25">
      <c r="A58" s="6">
        <v>42</v>
      </c>
      <c r="B58" s="6" t="s">
        <v>560</v>
      </c>
      <c r="C58" s="105" t="s">
        <v>602</v>
      </c>
      <c r="D58" s="73"/>
      <c r="E58" s="108"/>
      <c r="F58" s="108"/>
      <c r="G58" s="108"/>
      <c r="H58" s="108"/>
      <c r="I58" s="108"/>
      <c r="J58" s="105" t="s">
        <v>308</v>
      </c>
      <c r="L58" s="105" t="b">
        <v>1</v>
      </c>
      <c r="M58" s="104" t="s">
        <v>514</v>
      </c>
      <c r="N58" s="73"/>
      <c r="P58" s="113" t="s">
        <v>603</v>
      </c>
      <c r="Q58" s="72"/>
    </row>
    <row r="59" spans="1:17" x14ac:dyDescent="0.25">
      <c r="A59" s="6">
        <v>43</v>
      </c>
      <c r="B59" s="6" t="s">
        <v>560</v>
      </c>
      <c r="C59" s="105" t="s">
        <v>604</v>
      </c>
      <c r="D59" s="73"/>
      <c r="E59" s="108"/>
      <c r="F59" s="108"/>
      <c r="G59" s="108"/>
      <c r="H59" s="108"/>
      <c r="I59" s="108"/>
      <c r="J59" s="105" t="s">
        <v>308</v>
      </c>
      <c r="L59" s="105" t="b">
        <v>1</v>
      </c>
      <c r="M59" s="104" t="s">
        <v>514</v>
      </c>
      <c r="N59" s="73"/>
      <c r="P59" s="113" t="s">
        <v>605</v>
      </c>
      <c r="Q59" s="72"/>
    </row>
    <row r="60" spans="1:17" x14ac:dyDescent="0.25">
      <c r="A60" s="6">
        <v>44</v>
      </c>
      <c r="B60" s="6" t="s">
        <v>560</v>
      </c>
      <c r="C60" s="105" t="s">
        <v>606</v>
      </c>
      <c r="D60" s="73"/>
      <c r="E60" s="108"/>
      <c r="F60" s="108"/>
      <c r="G60" s="108"/>
      <c r="H60" s="108"/>
      <c r="I60" s="108"/>
      <c r="J60" s="105" t="s">
        <v>308</v>
      </c>
      <c r="L60" s="105" t="b">
        <v>0</v>
      </c>
      <c r="M60" s="104" t="s">
        <v>514</v>
      </c>
      <c r="N60" s="73"/>
      <c r="P60" s="113" t="s">
        <v>607</v>
      </c>
      <c r="Q60" s="72"/>
    </row>
    <row r="61" spans="1:17" x14ac:dyDescent="0.25">
      <c r="A61" s="6">
        <v>45</v>
      </c>
      <c r="B61" s="6" t="s">
        <v>560</v>
      </c>
      <c r="C61" s="105" t="s">
        <v>608</v>
      </c>
      <c r="D61" s="73"/>
      <c r="E61" s="108"/>
      <c r="F61" s="108"/>
      <c r="G61" s="108"/>
      <c r="H61" s="108"/>
      <c r="I61" s="108"/>
      <c r="J61" s="105" t="s">
        <v>308</v>
      </c>
      <c r="L61" s="105" t="b">
        <v>1</v>
      </c>
      <c r="M61" s="104" t="s">
        <v>514</v>
      </c>
      <c r="N61" s="73"/>
      <c r="P61" s="113" t="s">
        <v>609</v>
      </c>
      <c r="Q61" s="72"/>
    </row>
    <row r="62" spans="1:17" x14ac:dyDescent="0.25">
      <c r="A62" s="6">
        <v>46</v>
      </c>
      <c r="B62" s="6" t="s">
        <v>560</v>
      </c>
      <c r="C62" s="105" t="s">
        <v>610</v>
      </c>
      <c r="D62" s="73"/>
      <c r="E62" s="108"/>
      <c r="F62" s="108"/>
      <c r="G62" s="108"/>
      <c r="H62" s="108"/>
      <c r="I62" s="108"/>
      <c r="J62" s="105" t="s">
        <v>308</v>
      </c>
      <c r="L62" s="105" t="b">
        <v>1</v>
      </c>
      <c r="M62" s="104" t="s">
        <v>514</v>
      </c>
      <c r="N62" s="73"/>
      <c r="P62" s="113" t="s">
        <v>611</v>
      </c>
      <c r="Q62" s="72"/>
    </row>
    <row r="63" spans="1:17" x14ac:dyDescent="0.25">
      <c r="A63" s="107"/>
      <c r="B63" s="107"/>
      <c r="C63" s="73"/>
      <c r="D63" s="73"/>
      <c r="E63" s="73"/>
      <c r="F63" s="73"/>
      <c r="G63" s="73"/>
      <c r="H63" s="73"/>
      <c r="I63" s="73"/>
      <c r="J63" s="73"/>
      <c r="L63" s="73"/>
      <c r="M63" s="73"/>
      <c r="N63" s="73"/>
      <c r="P63" s="1"/>
      <c r="Q63" s="72"/>
    </row>
    <row r="64" spans="1:17" x14ac:dyDescent="0.25">
      <c r="A64" s="107"/>
      <c r="B64" s="107"/>
      <c r="C64" s="73"/>
      <c r="D64" s="73"/>
      <c r="E64" s="73"/>
      <c r="F64" s="73"/>
      <c r="G64" s="73"/>
      <c r="H64" s="73"/>
      <c r="I64" s="73"/>
      <c r="J64" s="73"/>
      <c r="L64" s="73"/>
      <c r="M64" s="73"/>
      <c r="N64" s="73"/>
      <c r="P64" s="1"/>
    </row>
    <row r="65" spans="1:16" x14ac:dyDescent="0.25">
      <c r="A65" s="107"/>
      <c r="B65" s="107"/>
      <c r="C65" s="73"/>
      <c r="D65" s="73"/>
      <c r="E65" s="73"/>
      <c r="F65" s="73"/>
      <c r="G65" s="73"/>
      <c r="H65" s="73"/>
      <c r="I65" s="73"/>
      <c r="J65" s="73"/>
      <c r="L65" s="73"/>
      <c r="M65" s="73"/>
      <c r="N65" s="73"/>
      <c r="P65" s="1"/>
    </row>
    <row r="66" spans="1:16" x14ac:dyDescent="0.25">
      <c r="A66" s="107"/>
      <c r="B66" s="107"/>
      <c r="C66" s="73"/>
      <c r="D66" s="73"/>
      <c r="E66" s="73"/>
      <c r="F66" s="73"/>
      <c r="G66" s="73"/>
      <c r="H66" s="73"/>
      <c r="I66" s="73"/>
      <c r="J66" s="73"/>
      <c r="L66" s="73"/>
      <c r="M66" s="73"/>
      <c r="N66" s="73"/>
      <c r="P66" s="1"/>
    </row>
    <row r="67" spans="1:16" x14ac:dyDescent="0.25">
      <c r="A67" s="107"/>
      <c r="B67" s="107"/>
      <c r="C67" s="73"/>
      <c r="D67" s="73"/>
      <c r="E67" s="73"/>
      <c r="F67" s="73"/>
      <c r="G67" s="73"/>
      <c r="H67" s="73"/>
      <c r="I67" s="73"/>
      <c r="J67" s="73"/>
      <c r="L67" s="73"/>
      <c r="M67" s="73"/>
      <c r="N67" s="73"/>
      <c r="P67" s="1"/>
    </row>
    <row r="68" spans="1:16" x14ac:dyDescent="0.25">
      <c r="A68" s="107"/>
      <c r="B68" s="107"/>
      <c r="C68" s="73"/>
      <c r="D68" s="73"/>
      <c r="E68" s="73"/>
      <c r="F68" s="73"/>
      <c r="G68" s="73"/>
      <c r="H68" s="73"/>
      <c r="I68" s="73"/>
      <c r="J68" s="73"/>
      <c r="L68" s="73"/>
      <c r="M68" s="73"/>
      <c r="N68" s="73"/>
      <c r="P68" s="1"/>
    </row>
    <row r="69" spans="1:16" x14ac:dyDescent="0.25">
      <c r="A69" s="83"/>
      <c r="B69" s="6" t="s">
        <v>560</v>
      </c>
      <c r="C69" s="64" t="s">
        <v>613</v>
      </c>
      <c r="D69" s="64" t="s">
        <v>614</v>
      </c>
      <c r="E69" s="64"/>
      <c r="F69" s="64"/>
      <c r="G69" s="64"/>
      <c r="H69" s="64"/>
      <c r="I69" s="64" t="s">
        <v>257</v>
      </c>
      <c r="J69" s="64" t="s">
        <v>311</v>
      </c>
      <c r="L69" s="64" t="b">
        <v>1</v>
      </c>
      <c r="M69" s="64" t="s">
        <v>262</v>
      </c>
      <c r="N69" s="64" t="s">
        <v>615</v>
      </c>
      <c r="P69" s="69" t="s">
        <v>616</v>
      </c>
    </row>
    <row r="70" spans="1:16" x14ac:dyDescent="0.25">
      <c r="A70" s="83"/>
      <c r="B70" s="6" t="s">
        <v>560</v>
      </c>
      <c r="C70" s="64" t="s">
        <v>617</v>
      </c>
      <c r="D70" s="64" t="s">
        <v>618</v>
      </c>
      <c r="E70" s="64"/>
      <c r="F70" s="64"/>
      <c r="G70" s="64"/>
      <c r="H70" s="64"/>
      <c r="I70" s="64" t="s">
        <v>265</v>
      </c>
      <c r="J70" s="64" t="s">
        <v>311</v>
      </c>
      <c r="L70" s="64" t="b">
        <v>1</v>
      </c>
      <c r="M70" s="64" t="s">
        <v>265</v>
      </c>
      <c r="N70" s="64" t="s">
        <v>619</v>
      </c>
      <c r="P70" s="69" t="s">
        <v>620</v>
      </c>
    </row>
    <row r="71" spans="1:16" x14ac:dyDescent="0.25">
      <c r="A71" s="83"/>
      <c r="B71" s="6" t="s">
        <v>560</v>
      </c>
      <c r="C71" s="64" t="s">
        <v>617</v>
      </c>
      <c r="D71" s="64" t="s">
        <v>621</v>
      </c>
      <c r="E71" s="64"/>
      <c r="F71" s="64"/>
      <c r="G71" s="64"/>
      <c r="H71" s="64"/>
      <c r="I71" s="64" t="s">
        <v>265</v>
      </c>
      <c r="J71" s="64" t="s">
        <v>311</v>
      </c>
      <c r="L71" s="64" t="b">
        <v>1</v>
      </c>
      <c r="M71" s="64" t="s">
        <v>265</v>
      </c>
      <c r="N71" s="64" t="s">
        <v>622</v>
      </c>
      <c r="P71" s="69" t="s">
        <v>620</v>
      </c>
    </row>
    <row r="72" spans="1:16" x14ac:dyDescent="0.25">
      <c r="A72" s="83"/>
      <c r="B72" s="6" t="s">
        <v>560</v>
      </c>
      <c r="C72" s="64" t="s">
        <v>623</v>
      </c>
      <c r="D72" s="64"/>
      <c r="E72" s="64"/>
      <c r="F72" s="64"/>
      <c r="G72" s="64"/>
      <c r="H72" s="64"/>
      <c r="I72" s="64" t="s">
        <v>624</v>
      </c>
      <c r="J72" s="64" t="s">
        <v>311</v>
      </c>
      <c r="L72" s="64" t="b">
        <v>1</v>
      </c>
      <c r="M72" s="64" t="s">
        <v>265</v>
      </c>
      <c r="N72" s="64"/>
      <c r="P72" s="69" t="s">
        <v>625</v>
      </c>
    </row>
    <row r="73" spans="1:16" x14ac:dyDescent="0.25">
      <c r="A73" s="83"/>
      <c r="B73" s="6" t="s">
        <v>560</v>
      </c>
      <c r="C73" s="64" t="s">
        <v>626</v>
      </c>
      <c r="D73" s="64"/>
      <c r="E73" s="64"/>
      <c r="F73" s="64"/>
      <c r="G73" s="64"/>
      <c r="H73" s="64"/>
      <c r="I73" s="64" t="s">
        <v>263</v>
      </c>
      <c r="J73" s="64" t="s">
        <v>311</v>
      </c>
      <c r="L73" s="64" t="b">
        <v>1</v>
      </c>
      <c r="M73" s="64" t="s">
        <v>263</v>
      </c>
      <c r="N73" s="64" t="s">
        <v>627</v>
      </c>
      <c r="P73" s="69" t="s">
        <v>628</v>
      </c>
    </row>
    <row r="74" spans="1:16" x14ac:dyDescent="0.25">
      <c r="A74" s="83"/>
      <c r="B74" s="6" t="s">
        <v>560</v>
      </c>
      <c r="C74" s="64" t="s">
        <v>629</v>
      </c>
      <c r="D74" s="64"/>
      <c r="E74" s="64"/>
      <c r="F74" s="64"/>
      <c r="G74" s="64"/>
      <c r="H74" s="64"/>
      <c r="I74" s="64" t="s">
        <v>257</v>
      </c>
      <c r="J74" s="64" t="s">
        <v>311</v>
      </c>
      <c r="L74" s="64" t="b">
        <v>1</v>
      </c>
      <c r="M74" s="64" t="s">
        <v>263</v>
      </c>
      <c r="N74" s="64"/>
      <c r="P74" s="69" t="s">
        <v>630</v>
      </c>
    </row>
    <row r="75" spans="1:16" x14ac:dyDescent="0.25">
      <c r="A75" s="83"/>
      <c r="B75" s="6" t="s">
        <v>560</v>
      </c>
      <c r="C75" s="64" t="s">
        <v>631</v>
      </c>
      <c r="D75" s="64"/>
      <c r="E75" s="64">
        <v>10</v>
      </c>
      <c r="F75" s="64"/>
      <c r="G75" s="64"/>
      <c r="H75" s="64"/>
      <c r="I75" s="64" t="s">
        <v>263</v>
      </c>
      <c r="J75" s="64" t="s">
        <v>311</v>
      </c>
      <c r="L75" s="64" t="b">
        <v>1</v>
      </c>
      <c r="M75" s="64" t="s">
        <v>632</v>
      </c>
      <c r="N75" s="64" t="s">
        <v>633</v>
      </c>
      <c r="P75" s="69" t="s">
        <v>634</v>
      </c>
    </row>
    <row r="76" spans="1:16" x14ac:dyDescent="0.25">
      <c r="A76" s="83"/>
      <c r="B76" s="6" t="s">
        <v>560</v>
      </c>
      <c r="C76" s="64" t="s">
        <v>631</v>
      </c>
      <c r="D76" s="64"/>
      <c r="E76" s="64">
        <v>20</v>
      </c>
      <c r="F76" s="64"/>
      <c r="G76" s="64"/>
      <c r="H76" s="64"/>
      <c r="I76" s="64" t="s">
        <v>263</v>
      </c>
      <c r="J76" s="64" t="s">
        <v>311</v>
      </c>
      <c r="L76" s="64" t="b">
        <v>1</v>
      </c>
      <c r="M76" s="64" t="s">
        <v>632</v>
      </c>
      <c r="N76" s="64" t="s">
        <v>635</v>
      </c>
      <c r="P76" s="69" t="s">
        <v>634</v>
      </c>
    </row>
    <row r="77" spans="1:16" x14ac:dyDescent="0.25">
      <c r="A77" s="83"/>
      <c r="B77" s="6" t="s">
        <v>560</v>
      </c>
      <c r="C77" s="64" t="s">
        <v>631</v>
      </c>
      <c r="D77" s="64"/>
      <c r="E77" s="64">
        <v>30</v>
      </c>
      <c r="F77" s="64"/>
      <c r="G77" s="64"/>
      <c r="H77" s="64"/>
      <c r="I77" s="64" t="s">
        <v>263</v>
      </c>
      <c r="J77" s="64" t="s">
        <v>311</v>
      </c>
      <c r="L77" s="64" t="b">
        <v>1</v>
      </c>
      <c r="M77" s="64" t="s">
        <v>632</v>
      </c>
      <c r="N77" s="64" t="s">
        <v>636</v>
      </c>
      <c r="P77" s="69" t="s">
        <v>634</v>
      </c>
    </row>
    <row r="78" spans="1:16" x14ac:dyDescent="0.25">
      <c r="A78" s="83"/>
      <c r="B78" s="6" t="s">
        <v>560</v>
      </c>
      <c r="C78" s="64" t="s">
        <v>631</v>
      </c>
      <c r="D78" s="64"/>
      <c r="E78" s="64">
        <v>40</v>
      </c>
      <c r="F78" s="64"/>
      <c r="G78" s="64"/>
      <c r="H78" s="64"/>
      <c r="I78" s="64" t="s">
        <v>263</v>
      </c>
      <c r="J78" s="64" t="s">
        <v>311</v>
      </c>
      <c r="L78" s="64" t="b">
        <v>1</v>
      </c>
      <c r="M78" s="64" t="s">
        <v>632</v>
      </c>
      <c r="N78" s="64" t="s">
        <v>637</v>
      </c>
      <c r="P78" s="69" t="s">
        <v>634</v>
      </c>
    </row>
    <row r="79" spans="1:16" x14ac:dyDescent="0.25">
      <c r="A79" s="83"/>
      <c r="B79" s="6" t="s">
        <v>560</v>
      </c>
      <c r="C79" s="64" t="s">
        <v>631</v>
      </c>
      <c r="D79" s="64"/>
      <c r="E79" s="64">
        <v>41</v>
      </c>
      <c r="F79" s="64"/>
      <c r="G79" s="64"/>
      <c r="H79" s="64"/>
      <c r="I79" s="64" t="s">
        <v>263</v>
      </c>
      <c r="J79" s="64" t="s">
        <v>311</v>
      </c>
      <c r="L79" s="64" t="b">
        <v>1</v>
      </c>
      <c r="M79" s="64" t="s">
        <v>632</v>
      </c>
      <c r="N79" s="64" t="s">
        <v>638</v>
      </c>
      <c r="P79" s="69" t="s">
        <v>634</v>
      </c>
    </row>
    <row r="80" spans="1:16" x14ac:dyDescent="0.25">
      <c r="A80" s="83"/>
      <c r="B80" s="6" t="s">
        <v>560</v>
      </c>
      <c r="C80" s="64" t="s">
        <v>631</v>
      </c>
      <c r="D80" s="64"/>
      <c r="E80" s="64">
        <v>42</v>
      </c>
      <c r="F80" s="64"/>
      <c r="G80" s="64"/>
      <c r="H80" s="64"/>
      <c r="I80" s="64" t="s">
        <v>263</v>
      </c>
      <c r="J80" s="64" t="s">
        <v>311</v>
      </c>
      <c r="L80" s="64" t="b">
        <v>1</v>
      </c>
      <c r="M80" s="64" t="s">
        <v>632</v>
      </c>
      <c r="N80" s="64" t="s">
        <v>639</v>
      </c>
      <c r="P80" s="69" t="s">
        <v>634</v>
      </c>
    </row>
    <row r="81" spans="1:16" x14ac:dyDescent="0.25">
      <c r="A81" s="83"/>
      <c r="B81" s="6" t="s">
        <v>560</v>
      </c>
      <c r="C81" s="64" t="s">
        <v>631</v>
      </c>
      <c r="D81" s="64"/>
      <c r="E81" s="64">
        <v>43</v>
      </c>
      <c r="F81" s="64"/>
      <c r="G81" s="64"/>
      <c r="H81" s="64"/>
      <c r="I81" s="64" t="s">
        <v>263</v>
      </c>
      <c r="J81" s="64" t="s">
        <v>311</v>
      </c>
      <c r="L81" s="64" t="b">
        <v>1</v>
      </c>
      <c r="M81" s="64" t="s">
        <v>632</v>
      </c>
      <c r="N81" s="64" t="s">
        <v>640</v>
      </c>
      <c r="P81" s="69" t="s">
        <v>634</v>
      </c>
    </row>
    <row r="82" spans="1:16" x14ac:dyDescent="0.25">
      <c r="A82" s="83"/>
      <c r="B82" s="6" t="s">
        <v>560</v>
      </c>
      <c r="C82" s="64" t="s">
        <v>631</v>
      </c>
      <c r="D82" s="64"/>
      <c r="E82" s="64">
        <v>44</v>
      </c>
      <c r="F82" s="64"/>
      <c r="G82" s="64"/>
      <c r="H82" s="64"/>
      <c r="I82" s="64" t="s">
        <v>263</v>
      </c>
      <c r="J82" s="64" t="s">
        <v>311</v>
      </c>
      <c r="L82" s="64" t="b">
        <v>1</v>
      </c>
      <c r="M82" s="64" t="s">
        <v>632</v>
      </c>
      <c r="N82" s="64" t="s">
        <v>641</v>
      </c>
      <c r="P82" s="69" t="s">
        <v>634</v>
      </c>
    </row>
    <row r="83" spans="1:16" x14ac:dyDescent="0.25">
      <c r="A83" s="83"/>
      <c r="B83" s="6" t="s">
        <v>560</v>
      </c>
      <c r="C83" s="64" t="s">
        <v>631</v>
      </c>
      <c r="D83" s="64"/>
      <c r="E83" s="64">
        <v>45</v>
      </c>
      <c r="F83" s="64"/>
      <c r="G83" s="64"/>
      <c r="H83" s="64"/>
      <c r="I83" s="64" t="s">
        <v>263</v>
      </c>
      <c r="J83" s="64" t="s">
        <v>311</v>
      </c>
      <c r="L83" s="64" t="b">
        <v>1</v>
      </c>
      <c r="M83" s="64" t="s">
        <v>632</v>
      </c>
      <c r="N83" s="64" t="s">
        <v>642</v>
      </c>
      <c r="P83" s="69" t="s">
        <v>634</v>
      </c>
    </row>
    <row r="84" spans="1:16" x14ac:dyDescent="0.25">
      <c r="A84" s="83"/>
      <c r="B84" s="6" t="s">
        <v>560</v>
      </c>
      <c r="C84" s="64" t="s">
        <v>631</v>
      </c>
      <c r="D84" s="64"/>
      <c r="E84" s="64">
        <v>50</v>
      </c>
      <c r="F84" s="64"/>
      <c r="G84" s="64"/>
      <c r="H84" s="64"/>
      <c r="I84" s="64" t="s">
        <v>263</v>
      </c>
      <c r="J84" s="64" t="s">
        <v>311</v>
      </c>
      <c r="L84" s="64" t="b">
        <v>1</v>
      </c>
      <c r="M84" s="64" t="s">
        <v>632</v>
      </c>
      <c r="N84" s="64" t="s">
        <v>643</v>
      </c>
      <c r="P84" s="69" t="s">
        <v>634</v>
      </c>
    </row>
    <row r="85" spans="1:16" x14ac:dyDescent="0.25">
      <c r="A85" s="83"/>
      <c r="B85" s="6" t="s">
        <v>560</v>
      </c>
      <c r="C85" s="64" t="s">
        <v>644</v>
      </c>
      <c r="D85" s="64"/>
      <c r="E85" s="64"/>
      <c r="F85" s="64"/>
      <c r="G85" s="64"/>
      <c r="H85" s="64"/>
      <c r="I85" s="64" t="s">
        <v>263</v>
      </c>
      <c r="J85" s="64" t="s">
        <v>311</v>
      </c>
      <c r="L85" s="64" t="b">
        <v>1</v>
      </c>
      <c r="M85" s="64" t="s">
        <v>645</v>
      </c>
      <c r="N85" s="64" t="s">
        <v>646</v>
      </c>
      <c r="P85" s="69" t="s">
        <v>647</v>
      </c>
    </row>
    <row r="86" spans="1:16" x14ac:dyDescent="0.25">
      <c r="A86" s="83"/>
      <c r="B86" s="6" t="s">
        <v>560</v>
      </c>
      <c r="C86" s="64" t="s">
        <v>648</v>
      </c>
      <c r="D86" s="64"/>
      <c r="E86" s="64"/>
      <c r="F86" s="64"/>
      <c r="G86" s="64"/>
      <c r="H86" s="64"/>
      <c r="I86" s="64" t="s">
        <v>263</v>
      </c>
      <c r="J86" s="64" t="s">
        <v>311</v>
      </c>
      <c r="L86" s="64" t="b">
        <v>1</v>
      </c>
      <c r="M86" s="64" t="s">
        <v>265</v>
      </c>
      <c r="N86" s="64" t="s">
        <v>649</v>
      </c>
      <c r="P86" s="69" t="s">
        <v>650</v>
      </c>
    </row>
    <row r="87" spans="1:16" x14ac:dyDescent="0.25">
      <c r="A87" s="83"/>
      <c r="B87" s="6" t="s">
        <v>560</v>
      </c>
      <c r="C87" s="64" t="s">
        <v>651</v>
      </c>
      <c r="D87" s="64"/>
      <c r="E87" s="64"/>
      <c r="F87" s="64"/>
      <c r="G87" s="64"/>
      <c r="H87" s="64"/>
      <c r="I87" s="64" t="s">
        <v>645</v>
      </c>
      <c r="J87" s="64" t="s">
        <v>311</v>
      </c>
      <c r="L87" s="64" t="b">
        <v>1</v>
      </c>
      <c r="M87" s="64" t="s">
        <v>265</v>
      </c>
      <c r="N87" s="64" t="s">
        <v>652</v>
      </c>
      <c r="P87" s="69" t="s">
        <v>653</v>
      </c>
    </row>
    <row r="88" spans="1:16" x14ac:dyDescent="0.25">
      <c r="A88" s="83"/>
      <c r="B88" s="6" t="s">
        <v>560</v>
      </c>
      <c r="C88" s="64" t="s">
        <v>654</v>
      </c>
      <c r="D88" s="64"/>
      <c r="E88" s="64"/>
      <c r="F88" s="64"/>
      <c r="G88" s="64"/>
      <c r="H88" s="64"/>
      <c r="I88" s="64" t="s">
        <v>645</v>
      </c>
      <c r="J88" s="64" t="s">
        <v>311</v>
      </c>
      <c r="L88" s="64" t="b">
        <v>1</v>
      </c>
      <c r="M88" s="64" t="s">
        <v>266</v>
      </c>
      <c r="N88" s="64"/>
      <c r="P88" s="69" t="s">
        <v>655</v>
      </c>
    </row>
    <row r="89" spans="1:16" x14ac:dyDescent="0.25">
      <c r="A89" s="83"/>
      <c r="B89" s="6" t="s">
        <v>560</v>
      </c>
      <c r="C89" s="64" t="s">
        <v>656</v>
      </c>
      <c r="D89" s="64"/>
      <c r="E89" s="64"/>
      <c r="F89" s="64"/>
      <c r="G89" s="64"/>
      <c r="H89" s="64"/>
      <c r="I89" s="64" t="s">
        <v>632</v>
      </c>
      <c r="J89" s="64" t="s">
        <v>311</v>
      </c>
      <c r="L89" s="64" t="b">
        <v>1</v>
      </c>
      <c r="M89" s="64" t="s">
        <v>267</v>
      </c>
      <c r="N89" s="64"/>
      <c r="P89" s="69" t="s">
        <v>657</v>
      </c>
    </row>
    <row r="90" spans="1:16" x14ac:dyDescent="0.25">
      <c r="A90" s="83"/>
      <c r="B90" s="6" t="s">
        <v>560</v>
      </c>
      <c r="C90" s="64" t="s">
        <v>656</v>
      </c>
      <c r="D90" s="64"/>
      <c r="E90" s="64"/>
      <c r="F90" s="64"/>
      <c r="G90" s="64"/>
      <c r="H90" s="64"/>
      <c r="I90" s="64" t="s">
        <v>265</v>
      </c>
      <c r="J90" s="64" t="s">
        <v>311</v>
      </c>
      <c r="L90" s="64" t="b">
        <v>1</v>
      </c>
      <c r="M90" s="64" t="s">
        <v>267</v>
      </c>
      <c r="N90" s="64"/>
      <c r="P90" s="69" t="s">
        <v>657</v>
      </c>
    </row>
    <row r="91" spans="1:16" x14ac:dyDescent="0.25">
      <c r="A91" s="83"/>
      <c r="B91" s="6" t="s">
        <v>560</v>
      </c>
      <c r="C91" s="64" t="s">
        <v>658</v>
      </c>
      <c r="D91" s="64"/>
      <c r="E91" s="64"/>
      <c r="F91" s="64"/>
      <c r="G91" s="64"/>
      <c r="H91" s="64"/>
      <c r="I91" s="64" t="s">
        <v>265</v>
      </c>
      <c r="J91" s="64" t="s">
        <v>311</v>
      </c>
      <c r="L91" s="64" t="b">
        <v>1</v>
      </c>
      <c r="M91" s="64" t="s">
        <v>265</v>
      </c>
      <c r="N91" s="64" t="s">
        <v>659</v>
      </c>
      <c r="P91" s="69" t="s">
        <v>660</v>
      </c>
    </row>
    <row r="92" spans="1:16" x14ac:dyDescent="0.25">
      <c r="A92" s="83"/>
      <c r="B92" s="6" t="s">
        <v>560</v>
      </c>
      <c r="C92" s="64" t="s">
        <v>661</v>
      </c>
      <c r="D92" s="64"/>
      <c r="E92" s="64"/>
      <c r="F92" s="64"/>
      <c r="G92" s="64">
        <v>1</v>
      </c>
      <c r="H92" s="64"/>
      <c r="I92" s="64" t="s">
        <v>265</v>
      </c>
      <c r="J92" s="64" t="s">
        <v>311</v>
      </c>
      <c r="L92" s="64" t="b">
        <v>1</v>
      </c>
      <c r="M92" s="64" t="s">
        <v>265</v>
      </c>
      <c r="N92" s="64" t="s">
        <v>662</v>
      </c>
      <c r="P92" s="69" t="s">
        <v>663</v>
      </c>
    </row>
    <row r="93" spans="1:16" x14ac:dyDescent="0.25">
      <c r="A93" s="83"/>
      <c r="B93" s="6" t="s">
        <v>560</v>
      </c>
      <c r="C93" s="64" t="s">
        <v>661</v>
      </c>
      <c r="D93" s="64"/>
      <c r="E93" s="64"/>
      <c r="F93" s="64"/>
      <c r="G93" s="64">
        <v>0</v>
      </c>
      <c r="H93" s="64"/>
      <c r="I93" s="64" t="s">
        <v>265</v>
      </c>
      <c r="J93" s="64" t="s">
        <v>311</v>
      </c>
      <c r="L93" s="64" t="b">
        <v>1</v>
      </c>
      <c r="M93" s="64" t="s">
        <v>265</v>
      </c>
      <c r="N93" s="64" t="s">
        <v>664</v>
      </c>
      <c r="P93" s="69" t="s">
        <v>663</v>
      </c>
    </row>
    <row r="94" spans="1:16" x14ac:dyDescent="0.25">
      <c r="A94" s="83"/>
      <c r="B94" s="6" t="s">
        <v>560</v>
      </c>
      <c r="C94" s="64" t="s">
        <v>665</v>
      </c>
      <c r="D94" s="64"/>
      <c r="E94" s="64"/>
      <c r="F94" s="64"/>
      <c r="G94" s="64"/>
      <c r="H94" s="64"/>
      <c r="I94" s="64" t="s">
        <v>645</v>
      </c>
      <c r="J94" s="64" t="s">
        <v>311</v>
      </c>
      <c r="L94" s="64" t="b">
        <v>1</v>
      </c>
      <c r="M94" s="64" t="s">
        <v>666</v>
      </c>
      <c r="N94" s="64"/>
      <c r="P94" s="69" t="s">
        <v>667</v>
      </c>
    </row>
    <row r="95" spans="1:16" x14ac:dyDescent="0.25">
      <c r="A95" s="83"/>
      <c r="B95" s="6" t="s">
        <v>560</v>
      </c>
      <c r="C95" s="64" t="s">
        <v>668</v>
      </c>
      <c r="D95" s="64"/>
      <c r="E95" s="64"/>
      <c r="F95" s="64"/>
      <c r="G95" s="64"/>
      <c r="H95" s="64"/>
      <c r="I95" s="64" t="s">
        <v>666</v>
      </c>
      <c r="J95" s="64" t="s">
        <v>311</v>
      </c>
      <c r="L95" s="64" t="b">
        <v>1</v>
      </c>
      <c r="M95" s="64" t="s">
        <v>669</v>
      </c>
      <c r="N95" s="64" t="s">
        <v>670</v>
      </c>
      <c r="P95" s="69" t="s">
        <v>671</v>
      </c>
    </row>
    <row r="96" spans="1:16" x14ac:dyDescent="0.25">
      <c r="A96" s="83"/>
      <c r="B96" s="6" t="s">
        <v>560</v>
      </c>
      <c r="C96" s="64" t="s">
        <v>672</v>
      </c>
      <c r="D96" s="64" t="s">
        <v>673</v>
      </c>
      <c r="E96" s="64"/>
      <c r="F96" s="64">
        <v>12</v>
      </c>
      <c r="G96" s="64"/>
      <c r="H96" s="64"/>
      <c r="I96" s="64" t="s">
        <v>645</v>
      </c>
      <c r="J96" s="64" t="s">
        <v>311</v>
      </c>
      <c r="L96" s="64" t="b">
        <v>1</v>
      </c>
      <c r="M96" s="64" t="s">
        <v>262</v>
      </c>
      <c r="N96" s="64" t="s">
        <v>674</v>
      </c>
      <c r="P96" s="69" t="s">
        <v>675</v>
      </c>
    </row>
    <row r="97" spans="1:16" x14ac:dyDescent="0.25">
      <c r="A97" s="83"/>
      <c r="B97" s="6" t="s">
        <v>560</v>
      </c>
      <c r="C97" s="64" t="s">
        <v>672</v>
      </c>
      <c r="D97" s="64" t="s">
        <v>676</v>
      </c>
      <c r="E97" s="64"/>
      <c r="F97" s="64">
        <v>3</v>
      </c>
      <c r="G97" s="64"/>
      <c r="H97" s="64"/>
      <c r="I97" s="64" t="s">
        <v>645</v>
      </c>
      <c r="J97" s="64" t="s">
        <v>311</v>
      </c>
      <c r="L97" s="64" t="b">
        <v>1</v>
      </c>
      <c r="M97" s="64" t="s">
        <v>262</v>
      </c>
      <c r="N97" s="64" t="s">
        <v>677</v>
      </c>
      <c r="P97" s="69" t="s">
        <v>675</v>
      </c>
    </row>
    <row r="98" spans="1:16" x14ac:dyDescent="0.25">
      <c r="A98" s="83"/>
      <c r="B98" s="6" t="s">
        <v>560</v>
      </c>
      <c r="C98" s="64" t="s">
        <v>672</v>
      </c>
      <c r="D98" s="64" t="s">
        <v>678</v>
      </c>
      <c r="E98" s="64"/>
      <c r="F98" s="64">
        <v>4</v>
      </c>
      <c r="G98" s="64"/>
      <c r="H98" s="64"/>
      <c r="I98" s="64" t="s">
        <v>645</v>
      </c>
      <c r="J98" s="64" t="s">
        <v>311</v>
      </c>
      <c r="L98" s="64" t="b">
        <v>1</v>
      </c>
      <c r="M98" s="64" t="s">
        <v>262</v>
      </c>
      <c r="N98" s="64" t="s">
        <v>677</v>
      </c>
      <c r="P98" s="69" t="s">
        <v>675</v>
      </c>
    </row>
    <row r="99" spans="1:16" x14ac:dyDescent="0.25">
      <c r="A99" s="83"/>
      <c r="B99" s="6" t="s">
        <v>560</v>
      </c>
      <c r="C99" s="64" t="s">
        <v>672</v>
      </c>
      <c r="D99" s="64" t="s">
        <v>679</v>
      </c>
      <c r="E99" s="64"/>
      <c r="F99" s="64">
        <v>6</v>
      </c>
      <c r="G99" s="64"/>
      <c r="H99" s="64"/>
      <c r="I99" s="64" t="s">
        <v>645</v>
      </c>
      <c r="J99" s="64" t="s">
        <v>311</v>
      </c>
      <c r="L99" s="64" t="b">
        <v>1</v>
      </c>
      <c r="M99" s="64" t="s">
        <v>262</v>
      </c>
      <c r="N99" s="64" t="s">
        <v>680</v>
      </c>
      <c r="P99" s="69" t="s">
        <v>675</v>
      </c>
    </row>
    <row r="100" spans="1:16" x14ac:dyDescent="0.25">
      <c r="A100" s="83"/>
      <c r="B100" s="6" t="s">
        <v>560</v>
      </c>
      <c r="C100" s="64" t="s">
        <v>672</v>
      </c>
      <c r="D100" s="64" t="s">
        <v>681</v>
      </c>
      <c r="E100" s="64"/>
      <c r="F100" s="64">
        <v>12</v>
      </c>
      <c r="G100" s="64"/>
      <c r="H100" s="64"/>
      <c r="I100" s="64" t="s">
        <v>645</v>
      </c>
      <c r="J100" s="64" t="s">
        <v>311</v>
      </c>
      <c r="L100" s="64" t="b">
        <v>1</v>
      </c>
      <c r="M100" s="64" t="s">
        <v>262</v>
      </c>
      <c r="N100" s="64" t="s">
        <v>674</v>
      </c>
      <c r="P100" s="69" t="s">
        <v>675</v>
      </c>
    </row>
    <row r="101" spans="1:16" x14ac:dyDescent="0.25">
      <c r="A101" s="83"/>
      <c r="B101" s="6" t="s">
        <v>560</v>
      </c>
      <c r="C101" s="64" t="s">
        <v>672</v>
      </c>
      <c r="D101" s="64" t="s">
        <v>682</v>
      </c>
      <c r="E101" s="64"/>
      <c r="F101" s="64">
        <v>3</v>
      </c>
      <c r="G101" s="64"/>
      <c r="H101" s="64"/>
      <c r="I101" s="64" t="s">
        <v>645</v>
      </c>
      <c r="J101" s="64" t="s">
        <v>311</v>
      </c>
      <c r="L101" s="64" t="b">
        <v>1</v>
      </c>
      <c r="M101" s="64" t="s">
        <v>262</v>
      </c>
      <c r="N101" s="64" t="s">
        <v>677</v>
      </c>
      <c r="P101" s="69" t="s">
        <v>675</v>
      </c>
    </row>
    <row r="102" spans="1:16" x14ac:dyDescent="0.25">
      <c r="A102" s="83"/>
      <c r="B102" s="6" t="s">
        <v>560</v>
      </c>
      <c r="C102" s="64" t="s">
        <v>672</v>
      </c>
      <c r="D102" s="64" t="s">
        <v>683</v>
      </c>
      <c r="E102" s="64"/>
      <c r="F102" s="64">
        <v>4</v>
      </c>
      <c r="G102" s="64"/>
      <c r="H102" s="64"/>
      <c r="I102" s="64" t="s">
        <v>645</v>
      </c>
      <c r="J102" s="64" t="s">
        <v>311</v>
      </c>
      <c r="L102" s="64" t="b">
        <v>1</v>
      </c>
      <c r="M102" s="64" t="s">
        <v>262</v>
      </c>
      <c r="N102" s="64" t="s">
        <v>677</v>
      </c>
      <c r="P102" s="69" t="s">
        <v>675</v>
      </c>
    </row>
    <row r="103" spans="1:16" x14ac:dyDescent="0.25">
      <c r="A103" s="83"/>
      <c r="B103" s="6" t="s">
        <v>560</v>
      </c>
      <c r="C103" s="64" t="s">
        <v>672</v>
      </c>
      <c r="D103" s="64" t="s">
        <v>684</v>
      </c>
      <c r="E103" s="64"/>
      <c r="F103" s="64">
        <v>6</v>
      </c>
      <c r="G103" s="64"/>
      <c r="H103" s="64"/>
      <c r="I103" s="64" t="s">
        <v>645</v>
      </c>
      <c r="J103" s="64" t="s">
        <v>311</v>
      </c>
      <c r="L103" s="64" t="b">
        <v>1</v>
      </c>
      <c r="M103" s="64" t="s">
        <v>262</v>
      </c>
      <c r="N103" s="64" t="s">
        <v>680</v>
      </c>
      <c r="P103" s="69" t="s">
        <v>675</v>
      </c>
    </row>
    <row r="104" spans="1:16" x14ac:dyDescent="0.25">
      <c r="A104" s="83"/>
      <c r="B104" s="6" t="s">
        <v>560</v>
      </c>
      <c r="C104" s="64" t="s">
        <v>685</v>
      </c>
      <c r="D104" s="64"/>
      <c r="E104" s="64"/>
      <c r="F104" s="64"/>
      <c r="G104" s="64"/>
      <c r="H104" s="64"/>
      <c r="I104" s="64"/>
      <c r="J104" s="64" t="s">
        <v>311</v>
      </c>
      <c r="L104" s="64" t="b">
        <v>1</v>
      </c>
      <c r="M104" s="64" t="s">
        <v>265</v>
      </c>
      <c r="N104" s="64" t="s">
        <v>686</v>
      </c>
      <c r="P104" s="69" t="s">
        <v>687</v>
      </c>
    </row>
    <row r="105" spans="1:16" x14ac:dyDescent="0.25">
      <c r="C105" s="27"/>
      <c r="D105" s="27"/>
      <c r="E105" s="27"/>
      <c r="F105" s="27"/>
      <c r="G105" s="27"/>
      <c r="H105" s="27"/>
      <c r="I105" s="26"/>
      <c r="J105" s="26"/>
    </row>
    <row r="106" spans="1:16" x14ac:dyDescent="0.25">
      <c r="C106" s="27"/>
      <c r="D106" s="27"/>
      <c r="E106" s="27"/>
      <c r="F106" s="27"/>
      <c r="G106" s="27"/>
      <c r="H106" s="27"/>
      <c r="I106" s="26"/>
      <c r="J106" s="26"/>
    </row>
    <row r="107" spans="1:16" x14ac:dyDescent="0.25">
      <c r="C107" s="26"/>
      <c r="D107" s="26"/>
      <c r="E107" s="26"/>
      <c r="F107" s="26"/>
      <c r="G107" s="26"/>
      <c r="H107" s="26"/>
      <c r="I107" s="26"/>
      <c r="J107" s="26"/>
    </row>
  </sheetData>
  <mergeCells count="1">
    <mergeCell ref="B22:P22"/>
  </mergeCells>
  <conditionalFormatting sqref="L8:N8 L10:N10 L11">
    <cfRule type="duplicateValues" dxfId="53" priority="114"/>
  </conditionalFormatting>
  <conditionalFormatting sqref="M7:N7">
    <cfRule type="duplicateValues" dxfId="52" priority="59"/>
  </conditionalFormatting>
  <conditionalFormatting sqref="P10 C8 C10 P7:P8 I10 I8">
    <cfRule type="duplicateValues" dxfId="51" priority="97"/>
  </conditionalFormatting>
  <conditionalFormatting sqref="P11 L7 C7:J7">
    <cfRule type="duplicateValues" dxfId="50" priority="102"/>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88957-7289-40B5-83D1-42790CDBEF2A}">
  <sheetPr>
    <tabColor theme="9" tint="-0.499984740745262"/>
  </sheetPr>
  <dimension ref="A1:Q36"/>
  <sheetViews>
    <sheetView showGridLines="0" topLeftCell="A21" zoomScaleNormal="100" workbookViewId="0">
      <selection activeCell="B34" sqref="B34:B36"/>
    </sheetView>
  </sheetViews>
  <sheetFormatPr defaultRowHeight="15" x14ac:dyDescent="0.25"/>
  <cols>
    <col min="2" max="2" width="23.7109375" bestFit="1" customWidth="1"/>
    <col min="3" max="3" width="48.28515625" customWidth="1"/>
    <col min="4" max="4" width="43.7109375" bestFit="1" customWidth="1"/>
    <col min="5" max="5" width="6.28515625" style="305" customWidth="1"/>
    <col min="6" max="6" width="26.28515625" bestFit="1" customWidth="1"/>
    <col min="7" max="7" width="23.28515625" customWidth="1"/>
  </cols>
  <sheetData>
    <row r="1" spans="1:17" ht="17.25" x14ac:dyDescent="0.25">
      <c r="B1" s="2" t="s">
        <v>3</v>
      </c>
      <c r="C1" s="1" t="s">
        <v>80</v>
      </c>
    </row>
    <row r="2" spans="1:17" ht="17.25" x14ac:dyDescent="0.25">
      <c r="B2" s="2" t="s">
        <v>158</v>
      </c>
      <c r="C2" s="1" t="s">
        <v>80</v>
      </c>
    </row>
    <row r="3" spans="1:17" s="47" customFormat="1" ht="17.25" x14ac:dyDescent="0.25">
      <c r="B3" s="48" t="s">
        <v>159</v>
      </c>
      <c r="C3" s="49" t="s">
        <v>199</v>
      </c>
      <c r="E3" s="306"/>
    </row>
    <row r="4" spans="1:17" ht="49.5" customHeight="1" x14ac:dyDescent="0.25">
      <c r="B4" s="2" t="s">
        <v>162</v>
      </c>
      <c r="C4" s="5" t="s">
        <v>81</v>
      </c>
    </row>
    <row r="5" spans="1:17" ht="21" customHeight="1" x14ac:dyDescent="0.25"/>
    <row r="6" spans="1:17" x14ac:dyDescent="0.25">
      <c r="B6" s="6" t="s">
        <v>163</v>
      </c>
      <c r="C6" s="256" t="s">
        <v>164</v>
      </c>
      <c r="D6" s="253" t="s">
        <v>164</v>
      </c>
      <c r="F6" s="253" t="s">
        <v>200</v>
      </c>
    </row>
    <row r="7" spans="1:17" x14ac:dyDescent="0.25">
      <c r="B7" s="6" t="s">
        <v>165</v>
      </c>
      <c r="C7" s="244" t="s">
        <v>167</v>
      </c>
      <c r="D7" s="244" t="s">
        <v>222</v>
      </c>
      <c r="F7" s="244" t="s">
        <v>688</v>
      </c>
    </row>
    <row r="8" spans="1:17" s="47" customFormat="1" x14ac:dyDescent="0.25">
      <c r="B8" s="51" t="s">
        <v>169</v>
      </c>
      <c r="C8" s="247"/>
      <c r="D8" s="248"/>
      <c r="E8" s="306"/>
      <c r="F8" s="248"/>
    </row>
    <row r="9" spans="1:17" s="47" customFormat="1" x14ac:dyDescent="0.25">
      <c r="B9" s="51" t="s">
        <v>171</v>
      </c>
      <c r="C9" s="248" t="s">
        <v>172</v>
      </c>
      <c r="D9" s="248" t="s">
        <v>172</v>
      </c>
      <c r="E9" s="306"/>
      <c r="F9" s="289" t="s">
        <v>236</v>
      </c>
    </row>
    <row r="10" spans="1:17" x14ac:dyDescent="0.25">
      <c r="B10" s="6" t="s">
        <v>237</v>
      </c>
      <c r="C10" s="250" t="s">
        <v>241</v>
      </c>
      <c r="D10" s="250" t="s">
        <v>241</v>
      </c>
      <c r="F10" s="249" t="s">
        <v>238</v>
      </c>
    </row>
    <row r="11" spans="1:17" ht="37.5" customHeight="1" x14ac:dyDescent="0.25">
      <c r="A11" s="6" t="s">
        <v>178</v>
      </c>
      <c r="B11" s="6" t="s">
        <v>301</v>
      </c>
      <c r="C11" s="288" t="s">
        <v>689</v>
      </c>
      <c r="D11" s="251" t="s">
        <v>690</v>
      </c>
      <c r="F11" s="251" t="s">
        <v>691</v>
      </c>
    </row>
    <row r="12" spans="1:17" ht="18.75" customHeight="1" x14ac:dyDescent="0.25">
      <c r="A12" s="6"/>
      <c r="B12" s="418" t="s">
        <v>692</v>
      </c>
      <c r="C12" s="419"/>
      <c r="D12" s="419"/>
      <c r="E12" s="419"/>
      <c r="F12" s="419"/>
      <c r="G12" s="419"/>
      <c r="H12" s="419"/>
      <c r="I12" s="419"/>
      <c r="J12" s="419"/>
      <c r="K12" s="419"/>
      <c r="L12" s="419"/>
      <c r="M12" s="419"/>
      <c r="N12" s="419"/>
      <c r="O12" s="419"/>
      <c r="P12" s="420"/>
      <c r="Q12" s="72"/>
    </row>
    <row r="13" spans="1:17" ht="30" x14ac:dyDescent="0.25">
      <c r="A13" s="6">
        <v>1</v>
      </c>
      <c r="B13" s="383" t="s">
        <v>182</v>
      </c>
      <c r="C13" s="16" t="s">
        <v>266</v>
      </c>
      <c r="D13" s="15" t="s">
        <v>308</v>
      </c>
      <c r="F13" s="11" t="s">
        <v>693</v>
      </c>
    </row>
    <row r="14" spans="1:17" ht="30" x14ac:dyDescent="0.25">
      <c r="A14" s="6">
        <v>2</v>
      </c>
      <c r="B14" s="383" t="s">
        <v>182</v>
      </c>
      <c r="C14" s="16" t="s">
        <v>260</v>
      </c>
      <c r="D14" s="15" t="s">
        <v>308</v>
      </c>
      <c r="F14" s="15" t="s">
        <v>694</v>
      </c>
    </row>
    <row r="15" spans="1:17" ht="30" x14ac:dyDescent="0.25">
      <c r="A15" s="6">
        <v>3</v>
      </c>
      <c r="B15" s="383" t="s">
        <v>182</v>
      </c>
      <c r="C15" s="16" t="s">
        <v>261</v>
      </c>
      <c r="D15" s="15" t="s">
        <v>308</v>
      </c>
      <c r="F15" s="15" t="s">
        <v>695</v>
      </c>
    </row>
    <row r="16" spans="1:17" ht="30" x14ac:dyDescent="0.25">
      <c r="A16" s="6">
        <v>4</v>
      </c>
      <c r="B16" s="383" t="s">
        <v>182</v>
      </c>
      <c r="C16" s="16" t="s">
        <v>267</v>
      </c>
      <c r="D16" s="15" t="s">
        <v>308</v>
      </c>
      <c r="F16" s="15" t="s">
        <v>696</v>
      </c>
    </row>
    <row r="17" spans="1:17" ht="30" x14ac:dyDescent="0.25">
      <c r="A17" s="6">
        <v>5</v>
      </c>
      <c r="B17" s="380" t="s">
        <v>182</v>
      </c>
      <c r="C17" s="381" t="s">
        <v>265</v>
      </c>
      <c r="D17" s="130" t="s">
        <v>308</v>
      </c>
      <c r="E17" s="382"/>
      <c r="F17" s="130" t="s">
        <v>696</v>
      </c>
      <c r="G17" s="133" t="s">
        <v>697</v>
      </c>
    </row>
    <row r="18" spans="1:17" x14ac:dyDescent="0.25">
      <c r="A18" s="6"/>
      <c r="B18" s="418" t="s">
        <v>698</v>
      </c>
      <c r="C18" s="419"/>
      <c r="D18" s="419"/>
      <c r="E18" s="419"/>
      <c r="F18" s="419"/>
      <c r="G18" s="419"/>
      <c r="H18" s="419"/>
      <c r="I18" s="419"/>
      <c r="J18" s="419"/>
      <c r="K18" s="419"/>
      <c r="L18" s="419"/>
      <c r="M18" s="419"/>
      <c r="N18" s="419"/>
      <c r="O18" s="419"/>
      <c r="P18" s="420"/>
      <c r="Q18" s="72"/>
    </row>
    <row r="19" spans="1:17" ht="30" x14ac:dyDescent="0.25">
      <c r="A19" s="6">
        <v>6</v>
      </c>
      <c r="B19" s="383" t="s">
        <v>182</v>
      </c>
      <c r="C19" s="16" t="s">
        <v>266</v>
      </c>
      <c r="D19" s="10" t="s">
        <v>371</v>
      </c>
      <c r="F19" s="11" t="s">
        <v>693</v>
      </c>
    </row>
    <row r="20" spans="1:17" ht="30" x14ac:dyDescent="0.25">
      <c r="A20" s="6">
        <v>7</v>
      </c>
      <c r="B20" s="383" t="s">
        <v>182</v>
      </c>
      <c r="C20" s="16" t="s">
        <v>266</v>
      </c>
      <c r="D20" s="15" t="s">
        <v>333</v>
      </c>
      <c r="F20" s="11" t="s">
        <v>693</v>
      </c>
    </row>
    <row r="21" spans="1:17" ht="30" x14ac:dyDescent="0.25">
      <c r="A21" s="6">
        <v>8</v>
      </c>
      <c r="B21" s="383" t="s">
        <v>182</v>
      </c>
      <c r="C21" s="16" t="s">
        <v>266</v>
      </c>
      <c r="D21" s="15" t="s">
        <v>335</v>
      </c>
      <c r="F21" s="11" t="s">
        <v>693</v>
      </c>
    </row>
    <row r="22" spans="1:17" x14ac:dyDescent="0.25">
      <c r="A22" s="6"/>
      <c r="B22" s="418" t="s">
        <v>699</v>
      </c>
      <c r="C22" s="419"/>
      <c r="D22" s="419"/>
      <c r="E22" s="419"/>
      <c r="F22" s="419"/>
      <c r="G22" s="419"/>
      <c r="H22" s="419"/>
      <c r="I22" s="419"/>
      <c r="J22" s="419"/>
      <c r="K22" s="419"/>
      <c r="L22" s="419"/>
      <c r="M22" s="419"/>
      <c r="N22" s="419"/>
      <c r="O22" s="419"/>
      <c r="P22" s="420"/>
      <c r="Q22" s="72"/>
    </row>
    <row r="23" spans="1:17" ht="30" x14ac:dyDescent="0.25">
      <c r="A23" s="6">
        <v>9</v>
      </c>
      <c r="B23" s="383" t="s">
        <v>182</v>
      </c>
      <c r="C23" s="16" t="s">
        <v>266</v>
      </c>
      <c r="D23" s="15" t="s">
        <v>270</v>
      </c>
      <c r="F23" s="11" t="s">
        <v>693</v>
      </c>
    </row>
    <row r="24" spans="1:17" ht="30" x14ac:dyDescent="0.25">
      <c r="A24" s="6">
        <v>10</v>
      </c>
      <c r="B24" s="383" t="s">
        <v>182</v>
      </c>
      <c r="C24" s="16" t="s">
        <v>260</v>
      </c>
      <c r="D24" s="15" t="s">
        <v>270</v>
      </c>
      <c r="F24" s="15" t="s">
        <v>694</v>
      </c>
    </row>
    <row r="25" spans="1:17" ht="30" x14ac:dyDescent="0.25">
      <c r="A25" s="6">
        <v>11</v>
      </c>
      <c r="B25" s="383" t="s">
        <v>182</v>
      </c>
      <c r="C25" s="16" t="s">
        <v>261</v>
      </c>
      <c r="D25" s="15" t="s">
        <v>270</v>
      </c>
      <c r="F25" s="15" t="s">
        <v>695</v>
      </c>
    </row>
    <row r="26" spans="1:17" ht="30" x14ac:dyDescent="0.25">
      <c r="A26" s="6">
        <v>12</v>
      </c>
      <c r="B26" s="383" t="s">
        <v>182</v>
      </c>
      <c r="C26" s="16" t="s">
        <v>267</v>
      </c>
      <c r="D26" s="15" t="s">
        <v>270</v>
      </c>
      <c r="F26" s="15" t="s">
        <v>696</v>
      </c>
    </row>
    <row r="27" spans="1:17" ht="30" x14ac:dyDescent="0.25">
      <c r="A27" s="6">
        <v>13</v>
      </c>
      <c r="B27" s="383" t="s">
        <v>182</v>
      </c>
      <c r="C27" s="16" t="s">
        <v>265</v>
      </c>
      <c r="D27" s="15" t="s">
        <v>270</v>
      </c>
      <c r="F27" s="15" t="s">
        <v>696</v>
      </c>
      <c r="G27" s="133"/>
    </row>
    <row r="28" spans="1:17" ht="30" x14ac:dyDescent="0.25">
      <c r="A28" s="6">
        <v>14</v>
      </c>
      <c r="B28" s="383" t="s">
        <v>182</v>
      </c>
      <c r="C28" s="16" t="s">
        <v>266</v>
      </c>
      <c r="D28" s="15" t="s">
        <v>700</v>
      </c>
      <c r="F28" s="11" t="s">
        <v>701</v>
      </c>
      <c r="G28" t="s">
        <v>702</v>
      </c>
    </row>
    <row r="29" spans="1:17" ht="30" x14ac:dyDescent="0.25">
      <c r="A29" s="6">
        <v>15</v>
      </c>
      <c r="B29" s="383" t="s">
        <v>182</v>
      </c>
      <c r="C29" s="16" t="s">
        <v>260</v>
      </c>
      <c r="D29" s="15" t="s">
        <v>700</v>
      </c>
      <c r="F29" s="15" t="s">
        <v>694</v>
      </c>
    </row>
    <row r="30" spans="1:17" ht="30" x14ac:dyDescent="0.25">
      <c r="A30" s="6">
        <v>16</v>
      </c>
      <c r="B30" s="383" t="s">
        <v>182</v>
      </c>
      <c r="C30" s="16" t="s">
        <v>261</v>
      </c>
      <c r="D30" s="15" t="s">
        <v>700</v>
      </c>
      <c r="F30" s="15" t="s">
        <v>695</v>
      </c>
    </row>
    <row r="31" spans="1:17" ht="30" x14ac:dyDescent="0.25">
      <c r="A31" s="6">
        <v>17</v>
      </c>
      <c r="B31" s="383" t="s">
        <v>182</v>
      </c>
      <c r="C31" s="16" t="s">
        <v>267</v>
      </c>
      <c r="D31" s="15" t="s">
        <v>700</v>
      </c>
      <c r="F31" s="15" t="s">
        <v>696</v>
      </c>
    </row>
    <row r="32" spans="1:17" ht="26.25" customHeight="1" x14ac:dyDescent="0.25"/>
    <row r="33" spans="1:16" x14ac:dyDescent="0.25">
      <c r="B33" s="418" t="s">
        <v>703</v>
      </c>
      <c r="C33" s="419"/>
      <c r="D33" s="419"/>
      <c r="E33" s="419"/>
      <c r="F33" s="419"/>
      <c r="G33" s="419"/>
      <c r="H33" s="419"/>
      <c r="I33" s="419"/>
      <c r="J33" s="419"/>
      <c r="K33" s="419"/>
      <c r="L33" s="419"/>
      <c r="M33" s="419"/>
      <c r="N33" s="419"/>
      <c r="O33" s="419"/>
      <c r="P33" s="420"/>
    </row>
    <row r="34" spans="1:16" ht="30" x14ac:dyDescent="0.25">
      <c r="A34" s="6">
        <v>18</v>
      </c>
      <c r="B34" s="383" t="s">
        <v>182</v>
      </c>
      <c r="C34" s="16" t="s">
        <v>264</v>
      </c>
      <c r="D34" s="15" t="s">
        <v>308</v>
      </c>
      <c r="F34" s="11" t="s">
        <v>696</v>
      </c>
    </row>
    <row r="35" spans="1:16" ht="30" x14ac:dyDescent="0.25">
      <c r="A35" s="6">
        <v>19</v>
      </c>
      <c r="B35" s="383" t="s">
        <v>182</v>
      </c>
      <c r="C35" s="16" t="s">
        <v>264</v>
      </c>
      <c r="D35" s="15" t="s">
        <v>289</v>
      </c>
      <c r="F35" s="15" t="s">
        <v>696</v>
      </c>
    </row>
    <row r="36" spans="1:16" ht="30" x14ac:dyDescent="0.25">
      <c r="A36" s="6">
        <v>20</v>
      </c>
      <c r="B36" s="383" t="s">
        <v>182</v>
      </c>
      <c r="C36" s="16" t="s">
        <v>264</v>
      </c>
      <c r="D36" s="15" t="s">
        <v>700</v>
      </c>
      <c r="F36" s="15" t="s">
        <v>696</v>
      </c>
    </row>
  </sheetData>
  <sortState xmlns:xlrd2="http://schemas.microsoft.com/office/spreadsheetml/2017/richdata2" ref="C19:F27">
    <sortCondition ref="D19:D27"/>
  </sortState>
  <mergeCells count="4">
    <mergeCell ref="B12:P12"/>
    <mergeCell ref="B18:P18"/>
    <mergeCell ref="B22:P22"/>
    <mergeCell ref="B33:P33"/>
  </mergeCells>
  <conditionalFormatting sqref="C8 C10:C12">
    <cfRule type="duplicateValues" dxfId="49" priority="5"/>
  </conditionalFormatting>
  <conditionalFormatting sqref="C7:D7">
    <cfRule type="duplicateValues" dxfId="48" priority="116"/>
  </conditionalFormatting>
  <conditionalFormatting sqref="D10">
    <cfRule type="duplicateValues" dxfId="47" priority="117"/>
  </conditionalFormatting>
  <conditionalFormatting sqref="F7">
    <cfRule type="duplicateValues" dxfId="46" priority="48"/>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EEA39-F866-4C82-9BEC-07D411BCC928}">
  <sheetPr>
    <tabColor rgb="FFFF0000"/>
  </sheetPr>
  <dimension ref="A1:F27"/>
  <sheetViews>
    <sheetView showGridLines="0" zoomScaleNormal="100" workbookViewId="0">
      <selection activeCell="D30" sqref="D30"/>
    </sheetView>
  </sheetViews>
  <sheetFormatPr defaultRowHeight="15" x14ac:dyDescent="0.25"/>
  <cols>
    <col min="1" max="1" width="6.7109375" customWidth="1"/>
    <col min="2" max="2" width="23.7109375" bestFit="1" customWidth="1"/>
    <col min="3" max="3" width="34.7109375" customWidth="1"/>
    <col min="4" max="4" width="8.28515625" customWidth="1"/>
    <col min="5" max="6" width="29.7109375" customWidth="1"/>
  </cols>
  <sheetData>
    <row r="1" spans="1:6" ht="17.25" x14ac:dyDescent="0.25">
      <c r="B1" s="2" t="s">
        <v>3</v>
      </c>
      <c r="C1" s="36" t="s">
        <v>704</v>
      </c>
      <c r="D1" s="8" t="s">
        <v>705</v>
      </c>
    </row>
    <row r="2" spans="1:6" ht="17.25" x14ac:dyDescent="0.25">
      <c r="B2" s="2" t="s">
        <v>158</v>
      </c>
      <c r="C2" s="36" t="s">
        <v>704</v>
      </c>
    </row>
    <row r="3" spans="1:6" ht="17.25" x14ac:dyDescent="0.25">
      <c r="B3" s="2" t="s">
        <v>159</v>
      </c>
      <c r="C3" s="1" t="s">
        <v>199</v>
      </c>
    </row>
    <row r="4" spans="1:6" ht="49.5" customHeight="1" x14ac:dyDescent="0.25">
      <c r="B4" s="2" t="s">
        <v>162</v>
      </c>
      <c r="C4" s="5" t="s">
        <v>706</v>
      </c>
    </row>
    <row r="5" spans="1:6" ht="21" customHeight="1" x14ac:dyDescent="0.25"/>
    <row r="6" spans="1:6" x14ac:dyDescent="0.25">
      <c r="C6" s="28" t="s">
        <v>378</v>
      </c>
      <c r="E6" s="421" t="s">
        <v>379</v>
      </c>
      <c r="F6" s="422"/>
    </row>
    <row r="7" spans="1:6" x14ac:dyDescent="0.25">
      <c r="B7" s="6" t="s">
        <v>165</v>
      </c>
      <c r="C7" s="4" t="s">
        <v>707</v>
      </c>
      <c r="E7" s="4" t="s">
        <v>708</v>
      </c>
      <c r="F7" s="4" t="s">
        <v>709</v>
      </c>
    </row>
    <row r="8" spans="1:6" x14ac:dyDescent="0.25">
      <c r="B8" s="6" t="s">
        <v>169</v>
      </c>
      <c r="C8" s="3"/>
      <c r="E8" s="1"/>
      <c r="F8" s="1"/>
    </row>
    <row r="9" spans="1:6" x14ac:dyDescent="0.25">
      <c r="B9" s="6" t="s">
        <v>171</v>
      </c>
      <c r="C9" s="3" t="s">
        <v>172</v>
      </c>
      <c r="E9" s="1" t="s">
        <v>207</v>
      </c>
      <c r="F9" s="1"/>
    </row>
    <row r="10" spans="1:6" x14ac:dyDescent="0.25">
      <c r="B10" s="6" t="s">
        <v>174</v>
      </c>
      <c r="C10" s="3" t="s">
        <v>175</v>
      </c>
      <c r="E10" s="1" t="s">
        <v>175</v>
      </c>
      <c r="F10" s="1"/>
    </row>
    <row r="11" spans="1:6" ht="30" x14ac:dyDescent="0.25">
      <c r="A11" s="6" t="s">
        <v>178</v>
      </c>
      <c r="B11" s="6" t="s">
        <v>179</v>
      </c>
      <c r="C11" s="7" t="s">
        <v>710</v>
      </c>
      <c r="E11" s="7" t="s">
        <v>711</v>
      </c>
      <c r="F11" s="7" t="s">
        <v>240</v>
      </c>
    </row>
    <row r="12" spans="1:6" x14ac:dyDescent="0.25">
      <c r="A12" s="6">
        <v>1</v>
      </c>
      <c r="B12" s="6" t="s">
        <v>712</v>
      </c>
      <c r="C12" s="15" t="s">
        <v>713</v>
      </c>
      <c r="E12" s="10" t="s">
        <v>714</v>
      </c>
      <c r="F12" s="10">
        <v>2</v>
      </c>
    </row>
    <row r="13" spans="1:6" x14ac:dyDescent="0.25">
      <c r="A13" s="6">
        <v>2</v>
      </c>
      <c r="B13" s="6" t="s">
        <v>712</v>
      </c>
      <c r="C13" s="15" t="s">
        <v>715</v>
      </c>
      <c r="E13" s="10" t="s">
        <v>714</v>
      </c>
      <c r="F13" s="10">
        <v>2</v>
      </c>
    </row>
    <row r="14" spans="1:6" x14ac:dyDescent="0.25">
      <c r="A14" s="6">
        <v>3</v>
      </c>
      <c r="B14" s="6" t="s">
        <v>712</v>
      </c>
      <c r="C14" s="15" t="s">
        <v>716</v>
      </c>
      <c r="E14" s="10" t="s">
        <v>714</v>
      </c>
      <c r="F14" s="10">
        <v>2</v>
      </c>
    </row>
    <row r="15" spans="1:6" x14ac:dyDescent="0.25">
      <c r="A15" s="6">
        <v>4</v>
      </c>
      <c r="B15" s="6" t="s">
        <v>712</v>
      </c>
      <c r="C15" s="15" t="s">
        <v>717</v>
      </c>
      <c r="E15" s="10" t="s">
        <v>714</v>
      </c>
      <c r="F15" s="10">
        <v>2</v>
      </c>
    </row>
    <row r="16" spans="1:6" x14ac:dyDescent="0.25">
      <c r="A16" s="6">
        <v>5</v>
      </c>
      <c r="B16" s="6" t="s">
        <v>712</v>
      </c>
      <c r="C16" s="15" t="s">
        <v>718</v>
      </c>
      <c r="E16" s="10" t="s">
        <v>714</v>
      </c>
      <c r="F16" s="10">
        <v>2</v>
      </c>
    </row>
    <row r="17" spans="1:6" x14ac:dyDescent="0.25">
      <c r="A17" s="6">
        <v>6</v>
      </c>
      <c r="B17" s="6" t="s">
        <v>712</v>
      </c>
      <c r="C17" s="15" t="s">
        <v>719</v>
      </c>
      <c r="E17" s="10" t="s">
        <v>714</v>
      </c>
      <c r="F17" s="10">
        <v>2</v>
      </c>
    </row>
    <row r="18" spans="1:6" x14ac:dyDescent="0.25">
      <c r="A18" s="6">
        <v>7</v>
      </c>
      <c r="B18" s="6" t="s">
        <v>712</v>
      </c>
      <c r="C18" s="15" t="s">
        <v>720</v>
      </c>
      <c r="E18" s="10" t="s">
        <v>714</v>
      </c>
      <c r="F18" s="10">
        <v>2</v>
      </c>
    </row>
    <row r="19" spans="1:6" x14ac:dyDescent="0.25">
      <c r="A19" s="6">
        <v>8</v>
      </c>
      <c r="B19" s="6" t="s">
        <v>712</v>
      </c>
      <c r="C19" s="15" t="s">
        <v>721</v>
      </c>
      <c r="E19" s="10" t="s">
        <v>714</v>
      </c>
      <c r="F19" s="10">
        <v>2</v>
      </c>
    </row>
    <row r="20" spans="1:6" x14ac:dyDescent="0.25">
      <c r="A20" s="6">
        <v>9</v>
      </c>
      <c r="B20" s="6" t="s">
        <v>194</v>
      </c>
      <c r="C20" s="15" t="s">
        <v>713</v>
      </c>
      <c r="E20" s="10" t="s">
        <v>714</v>
      </c>
      <c r="F20" s="10">
        <v>2</v>
      </c>
    </row>
    <row r="21" spans="1:6" x14ac:dyDescent="0.25">
      <c r="A21" s="6">
        <v>10</v>
      </c>
      <c r="B21" s="6" t="s">
        <v>194</v>
      </c>
      <c r="C21" s="15" t="s">
        <v>715</v>
      </c>
      <c r="E21" s="10" t="s">
        <v>714</v>
      </c>
      <c r="F21" s="10">
        <v>2</v>
      </c>
    </row>
    <row r="22" spans="1:6" x14ac:dyDescent="0.25">
      <c r="A22" s="6">
        <v>11</v>
      </c>
      <c r="B22" s="6" t="s">
        <v>194</v>
      </c>
      <c r="C22" s="15" t="s">
        <v>716</v>
      </c>
      <c r="E22" s="10" t="s">
        <v>714</v>
      </c>
      <c r="F22" s="10">
        <v>2</v>
      </c>
    </row>
    <row r="23" spans="1:6" x14ac:dyDescent="0.25">
      <c r="A23" s="6">
        <v>12</v>
      </c>
      <c r="B23" s="6" t="s">
        <v>194</v>
      </c>
      <c r="C23" s="15" t="s">
        <v>717</v>
      </c>
      <c r="E23" s="10" t="s">
        <v>714</v>
      </c>
      <c r="F23" s="10">
        <v>2</v>
      </c>
    </row>
    <row r="24" spans="1:6" x14ac:dyDescent="0.25">
      <c r="A24" s="6">
        <v>13</v>
      </c>
      <c r="B24" s="6" t="s">
        <v>194</v>
      </c>
      <c r="C24" s="15" t="s">
        <v>718</v>
      </c>
      <c r="E24" s="10" t="s">
        <v>714</v>
      </c>
      <c r="F24" s="10">
        <v>2</v>
      </c>
    </row>
    <row r="25" spans="1:6" x14ac:dyDescent="0.25">
      <c r="A25" s="6">
        <v>14</v>
      </c>
      <c r="B25" s="6" t="s">
        <v>194</v>
      </c>
      <c r="C25" s="15" t="s">
        <v>719</v>
      </c>
      <c r="E25" s="10" t="s">
        <v>714</v>
      </c>
      <c r="F25" s="10">
        <v>2</v>
      </c>
    </row>
    <row r="26" spans="1:6" x14ac:dyDescent="0.25">
      <c r="A26" s="6">
        <v>15</v>
      </c>
      <c r="B26" s="6" t="s">
        <v>194</v>
      </c>
      <c r="C26" s="15" t="s">
        <v>720</v>
      </c>
      <c r="E26" s="10" t="s">
        <v>714</v>
      </c>
      <c r="F26" s="10">
        <v>2</v>
      </c>
    </row>
    <row r="27" spans="1:6" x14ac:dyDescent="0.25">
      <c r="A27" s="6">
        <v>16</v>
      </c>
      <c r="B27" s="6" t="s">
        <v>194</v>
      </c>
      <c r="C27" s="15" t="s">
        <v>721</v>
      </c>
      <c r="E27" s="10" t="s">
        <v>714</v>
      </c>
      <c r="F27" s="10">
        <v>2</v>
      </c>
    </row>
  </sheetData>
  <mergeCells count="1">
    <mergeCell ref="E6:F6"/>
  </mergeCells>
  <conditionalFormatting sqref="C7">
    <cfRule type="duplicateValues" dxfId="45" priority="44"/>
  </conditionalFormatting>
  <conditionalFormatting sqref="C8:C10">
    <cfRule type="duplicateValues" dxfId="44" priority="3"/>
  </conditionalFormatting>
  <conditionalFormatting sqref="E6">
    <cfRule type="duplicateValues" dxfId="43" priority="1"/>
  </conditionalFormatting>
  <conditionalFormatting sqref="E7:F7">
    <cfRule type="duplicateValues" dxfId="42" priority="2"/>
  </conditionalFormatting>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0F90F-538F-4B23-8203-142B2112EDCB}">
  <dimension ref="A1:E40"/>
  <sheetViews>
    <sheetView showGridLines="0" zoomScaleNormal="100" workbookViewId="0">
      <selection activeCell="B25" sqref="B25"/>
    </sheetView>
  </sheetViews>
  <sheetFormatPr defaultRowHeight="15" x14ac:dyDescent="0.25"/>
  <cols>
    <col min="1" max="1" width="23.7109375" bestFit="1" customWidth="1"/>
    <col min="2" max="2" width="114.28515625" customWidth="1"/>
    <col min="3" max="3" width="43.7109375" bestFit="1" customWidth="1"/>
    <col min="4" max="4" width="35.28515625" bestFit="1" customWidth="1"/>
    <col min="5" max="5" width="8.28515625" customWidth="1"/>
  </cols>
  <sheetData>
    <row r="1" spans="1:3" ht="17.25" x14ac:dyDescent="0.25">
      <c r="A1" s="2" t="s">
        <v>3</v>
      </c>
      <c r="B1" s="1" t="s">
        <v>722</v>
      </c>
    </row>
    <row r="2" spans="1:3" ht="17.25" x14ac:dyDescent="0.25">
      <c r="A2" s="2" t="s">
        <v>158</v>
      </c>
      <c r="B2" s="1" t="s">
        <v>723</v>
      </c>
    </row>
    <row r="3" spans="1:3" ht="17.25" x14ac:dyDescent="0.25">
      <c r="A3" s="2" t="s">
        <v>159</v>
      </c>
      <c r="B3" s="1" t="s">
        <v>299</v>
      </c>
    </row>
    <row r="4" spans="1:3" ht="49.5" customHeight="1" x14ac:dyDescent="0.25">
      <c r="A4" s="2" t="s">
        <v>162</v>
      </c>
      <c r="B4" s="5" t="s">
        <v>724</v>
      </c>
    </row>
    <row r="5" spans="1:3" ht="21" customHeight="1" x14ac:dyDescent="0.25"/>
    <row r="6" spans="1:3" x14ac:dyDescent="0.25">
      <c r="A6" s="423" t="s">
        <v>378</v>
      </c>
      <c r="B6" s="423"/>
      <c r="C6" s="423"/>
    </row>
    <row r="7" spans="1:3" x14ac:dyDescent="0.25">
      <c r="A7" s="6" t="s">
        <v>165</v>
      </c>
      <c r="B7" s="4" t="s">
        <v>725</v>
      </c>
      <c r="C7" s="4"/>
    </row>
    <row r="8" spans="1:3" x14ac:dyDescent="0.25">
      <c r="A8" s="6" t="s">
        <v>169</v>
      </c>
      <c r="B8" s="3" t="s">
        <v>726</v>
      </c>
      <c r="C8" s="1"/>
    </row>
    <row r="9" spans="1:3" x14ac:dyDescent="0.25">
      <c r="A9" s="6" t="s">
        <v>171</v>
      </c>
      <c r="B9" s="1"/>
      <c r="C9" s="1"/>
    </row>
    <row r="10" spans="1:3" x14ac:dyDescent="0.25">
      <c r="A10" s="6" t="s">
        <v>727</v>
      </c>
      <c r="B10" s="1" t="s">
        <v>728</v>
      </c>
      <c r="C10" s="1"/>
    </row>
    <row r="11" spans="1:3" x14ac:dyDescent="0.25">
      <c r="A11" s="6" t="s">
        <v>727</v>
      </c>
      <c r="B11" s="1"/>
      <c r="C11" s="1"/>
    </row>
    <row r="14" spans="1:3" x14ac:dyDescent="0.25">
      <c r="A14" s="423" t="s">
        <v>379</v>
      </c>
      <c r="B14" s="423"/>
      <c r="C14" s="423"/>
    </row>
    <row r="15" spans="1:3" x14ac:dyDescent="0.25">
      <c r="A15" s="6" t="s">
        <v>165</v>
      </c>
      <c r="B15" s="4" t="s">
        <v>729</v>
      </c>
      <c r="C15" s="4" t="s">
        <v>730</v>
      </c>
    </row>
    <row r="16" spans="1:3" x14ac:dyDescent="0.25">
      <c r="A16" s="6" t="s">
        <v>169</v>
      </c>
      <c r="B16" s="3"/>
      <c r="C16" s="1"/>
    </row>
    <row r="17" spans="1:3" x14ac:dyDescent="0.25">
      <c r="A17" s="6" t="s">
        <v>171</v>
      </c>
      <c r="B17" s="3"/>
      <c r="C17" s="1"/>
    </row>
    <row r="18" spans="1:3" x14ac:dyDescent="0.25">
      <c r="A18" s="9" t="s">
        <v>458</v>
      </c>
      <c r="B18" s="7"/>
      <c r="C18" s="7"/>
    </row>
    <row r="19" spans="1:3" x14ac:dyDescent="0.25">
      <c r="A19" s="6" t="s">
        <v>731</v>
      </c>
      <c r="B19" s="1"/>
      <c r="C19" s="1"/>
    </row>
    <row r="20" spans="1:3" x14ac:dyDescent="0.25">
      <c r="A20" s="6" t="s">
        <v>731</v>
      </c>
      <c r="B20" s="1"/>
      <c r="C20" s="1"/>
    </row>
    <row r="21" spans="1:3" x14ac:dyDescent="0.25">
      <c r="A21" s="6"/>
      <c r="B21" s="1"/>
      <c r="C21" s="1"/>
    </row>
    <row r="37" spans="5:5" x14ac:dyDescent="0.25">
      <c r="E37" t="s">
        <v>732</v>
      </c>
    </row>
    <row r="38" spans="5:5" x14ac:dyDescent="0.25">
      <c r="E38" t="s">
        <v>733</v>
      </c>
    </row>
    <row r="39" spans="5:5" x14ac:dyDescent="0.25">
      <c r="E39" t="s">
        <v>732</v>
      </c>
    </row>
    <row r="40" spans="5:5" x14ac:dyDescent="0.25">
      <c r="E40" t="s">
        <v>733</v>
      </c>
    </row>
  </sheetData>
  <mergeCells count="2">
    <mergeCell ref="A14:C14"/>
    <mergeCell ref="A6:C6"/>
  </mergeCells>
  <conditionalFormatting sqref="B8">
    <cfRule type="duplicateValues" dxfId="41" priority="3"/>
  </conditionalFormatting>
  <conditionalFormatting sqref="B16:B17">
    <cfRule type="duplicateValues" dxfId="40" priority="1"/>
  </conditionalFormatting>
  <conditionalFormatting sqref="B7:C7">
    <cfRule type="duplicateValues" dxfId="39" priority="7"/>
  </conditionalFormatting>
  <conditionalFormatting sqref="B15:C15">
    <cfRule type="duplicateValues" dxfId="38" priority="2"/>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279BE-795B-4C2D-ABFF-3D82DF51DD72}">
  <sheetPr>
    <tabColor rgb="FFFF0000"/>
  </sheetPr>
  <dimension ref="A1:G38"/>
  <sheetViews>
    <sheetView showGridLines="0" zoomScaleNormal="100" workbookViewId="0">
      <selection activeCell="C38" sqref="C38"/>
    </sheetView>
  </sheetViews>
  <sheetFormatPr defaultRowHeight="15" x14ac:dyDescent="0.25"/>
  <cols>
    <col min="1" max="1" width="17" customWidth="1"/>
    <col min="2" max="2" width="43.28515625" customWidth="1"/>
    <col min="3" max="3" width="43.7109375" bestFit="1" customWidth="1"/>
    <col min="4" max="4" width="21.28515625" bestFit="1" customWidth="1"/>
    <col min="5" max="5" width="8.28515625" customWidth="1"/>
    <col min="6" max="6" width="23.7109375" bestFit="1" customWidth="1"/>
    <col min="7" max="7" width="18.7109375" bestFit="1" customWidth="1"/>
  </cols>
  <sheetData>
    <row r="1" spans="1:7" ht="17.25" x14ac:dyDescent="0.25">
      <c r="A1" s="2" t="s">
        <v>3</v>
      </c>
      <c r="B1" s="1" t="s">
        <v>722</v>
      </c>
    </row>
    <row r="2" spans="1:7" ht="17.25" x14ac:dyDescent="0.25">
      <c r="A2" s="2" t="s">
        <v>158</v>
      </c>
      <c r="B2" s="1" t="s">
        <v>493</v>
      </c>
    </row>
    <row r="3" spans="1:7" ht="17.25" x14ac:dyDescent="0.25">
      <c r="A3" s="2" t="s">
        <v>159</v>
      </c>
      <c r="B3" s="1" t="s">
        <v>299</v>
      </c>
    </row>
    <row r="4" spans="1:7" ht="76.5" customHeight="1" x14ac:dyDescent="0.25">
      <c r="A4" s="2" t="s">
        <v>162</v>
      </c>
      <c r="B4" s="5" t="s">
        <v>734</v>
      </c>
    </row>
    <row r="5" spans="1:7" ht="21" customHeight="1" x14ac:dyDescent="0.25"/>
    <row r="6" spans="1:7" x14ac:dyDescent="0.25">
      <c r="C6" s="398" t="s">
        <v>378</v>
      </c>
      <c r="D6" s="399"/>
      <c r="F6" s="398" t="s">
        <v>300</v>
      </c>
      <c r="G6" s="399"/>
    </row>
    <row r="7" spans="1:7" x14ac:dyDescent="0.25">
      <c r="B7" s="6" t="s">
        <v>165</v>
      </c>
      <c r="C7" s="4" t="s">
        <v>167</v>
      </c>
      <c r="D7" s="4" t="s">
        <v>222</v>
      </c>
      <c r="F7" s="4" t="s">
        <v>735</v>
      </c>
      <c r="G7" s="4" t="s">
        <v>688</v>
      </c>
    </row>
    <row r="8" spans="1:7" x14ac:dyDescent="0.25">
      <c r="B8" s="6" t="s">
        <v>169</v>
      </c>
      <c r="C8" s="3"/>
      <c r="D8" s="1"/>
      <c r="F8" s="3"/>
      <c r="G8" s="1"/>
    </row>
    <row r="9" spans="1:7" x14ac:dyDescent="0.25">
      <c r="B9" s="6" t="s">
        <v>171</v>
      </c>
      <c r="C9" s="1" t="s">
        <v>236</v>
      </c>
      <c r="D9" s="1" t="s">
        <v>236</v>
      </c>
      <c r="F9" s="7" t="s">
        <v>236</v>
      </c>
      <c r="G9" s="7" t="s">
        <v>236</v>
      </c>
    </row>
    <row r="10" spans="1:7" x14ac:dyDescent="0.25">
      <c r="B10" s="6" t="s">
        <v>237</v>
      </c>
      <c r="C10" s="3" t="s">
        <v>241</v>
      </c>
      <c r="D10" s="3" t="s">
        <v>241</v>
      </c>
      <c r="F10" s="3" t="s">
        <v>175</v>
      </c>
      <c r="G10" s="1" t="s">
        <v>241</v>
      </c>
    </row>
    <row r="11" spans="1:7" x14ac:dyDescent="0.25">
      <c r="A11" s="6" t="s">
        <v>178</v>
      </c>
      <c r="B11" s="6" t="s">
        <v>301</v>
      </c>
      <c r="C11" s="3" t="s">
        <v>167</v>
      </c>
      <c r="D11" s="1" t="s">
        <v>736</v>
      </c>
      <c r="F11" s="3" t="s">
        <v>735</v>
      </c>
      <c r="G11" s="1" t="s">
        <v>737</v>
      </c>
    </row>
    <row r="12" spans="1:7" x14ac:dyDescent="0.25">
      <c r="A12" s="6">
        <v>1</v>
      </c>
      <c r="B12" s="6" t="s">
        <v>182</v>
      </c>
      <c r="C12" s="16" t="s">
        <v>266</v>
      </c>
      <c r="D12" s="10" t="s">
        <v>432</v>
      </c>
      <c r="F12" s="11" t="s">
        <v>738</v>
      </c>
      <c r="G12" s="11" t="s">
        <v>693</v>
      </c>
    </row>
    <row r="13" spans="1:7" x14ac:dyDescent="0.25">
      <c r="A13" s="6">
        <v>2</v>
      </c>
      <c r="B13" s="6" t="s">
        <v>182</v>
      </c>
      <c r="C13" s="16" t="s">
        <v>266</v>
      </c>
      <c r="D13" s="15" t="s">
        <v>308</v>
      </c>
      <c r="F13" s="11" t="s">
        <v>738</v>
      </c>
      <c r="G13" s="11" t="s">
        <v>693</v>
      </c>
    </row>
    <row r="14" spans="1:7" x14ac:dyDescent="0.25">
      <c r="A14" s="6">
        <v>3</v>
      </c>
      <c r="B14" s="6" t="s">
        <v>182</v>
      </c>
      <c r="C14" s="16" t="s">
        <v>266</v>
      </c>
      <c r="D14" s="15" t="s">
        <v>739</v>
      </c>
      <c r="F14" s="11" t="s">
        <v>738</v>
      </c>
      <c r="G14" s="11" t="s">
        <v>693</v>
      </c>
    </row>
    <row r="15" spans="1:7" x14ac:dyDescent="0.25">
      <c r="A15" s="6">
        <v>4</v>
      </c>
      <c r="B15" s="6" t="s">
        <v>182</v>
      </c>
      <c r="C15" s="16" t="s">
        <v>266</v>
      </c>
      <c r="D15" s="15" t="s">
        <v>311</v>
      </c>
      <c r="F15" s="11" t="s">
        <v>738</v>
      </c>
      <c r="G15" s="11" t="s">
        <v>740</v>
      </c>
    </row>
    <row r="16" spans="1:7" x14ac:dyDescent="0.25">
      <c r="A16" s="6">
        <v>5</v>
      </c>
      <c r="B16" s="6" t="s">
        <v>182</v>
      </c>
      <c r="C16" s="16" t="s">
        <v>266</v>
      </c>
      <c r="D16" s="15" t="s">
        <v>333</v>
      </c>
      <c r="F16" s="11" t="s">
        <v>738</v>
      </c>
      <c r="G16" s="11" t="s">
        <v>741</v>
      </c>
    </row>
    <row r="17" spans="1:7" x14ac:dyDescent="0.25">
      <c r="A17" s="6">
        <v>6</v>
      </c>
      <c r="B17" s="6" t="s">
        <v>182</v>
      </c>
      <c r="C17" s="16" t="s">
        <v>260</v>
      </c>
      <c r="D17" s="10" t="s">
        <v>432</v>
      </c>
      <c r="F17" s="11" t="s">
        <v>742</v>
      </c>
      <c r="G17" s="11" t="s">
        <v>612</v>
      </c>
    </row>
    <row r="18" spans="1:7" x14ac:dyDescent="0.25">
      <c r="A18" s="6">
        <v>7</v>
      </c>
      <c r="B18" s="6" t="s">
        <v>182</v>
      </c>
      <c r="C18" s="16" t="s">
        <v>260</v>
      </c>
      <c r="D18" s="15" t="s">
        <v>308</v>
      </c>
      <c r="F18" s="11" t="s">
        <v>742</v>
      </c>
      <c r="G18" s="11" t="s">
        <v>612</v>
      </c>
    </row>
    <row r="35" spans="5:5" x14ac:dyDescent="0.25">
      <c r="E35" t="s">
        <v>732</v>
      </c>
    </row>
    <row r="36" spans="5:5" x14ac:dyDescent="0.25">
      <c r="E36" t="s">
        <v>733</v>
      </c>
    </row>
    <row r="37" spans="5:5" x14ac:dyDescent="0.25">
      <c r="E37" t="s">
        <v>732</v>
      </c>
    </row>
    <row r="38" spans="5:5" x14ac:dyDescent="0.25">
      <c r="E38" t="s">
        <v>733</v>
      </c>
    </row>
  </sheetData>
  <mergeCells count="2">
    <mergeCell ref="C6:D6"/>
    <mergeCell ref="F6:G6"/>
  </mergeCells>
  <conditionalFormatting sqref="C10:C11 C8">
    <cfRule type="duplicateValues" dxfId="37" priority="4"/>
  </conditionalFormatting>
  <conditionalFormatting sqref="C7:D7">
    <cfRule type="duplicateValues" dxfId="36" priority="5"/>
  </conditionalFormatting>
  <conditionalFormatting sqref="D10">
    <cfRule type="duplicateValues" dxfId="35" priority="1"/>
  </conditionalFormatting>
  <conditionalFormatting sqref="F10:F11 F8">
    <cfRule type="duplicateValues" dxfId="34" priority="3"/>
  </conditionalFormatting>
  <conditionalFormatting sqref="F7:G7">
    <cfRule type="duplicateValues" dxfId="33" priority="2"/>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D56DC-6099-4DD9-8A24-1C73E736AB86}">
  <sheetPr>
    <tabColor rgb="FFFF0000"/>
  </sheetPr>
  <dimension ref="A1:G14"/>
  <sheetViews>
    <sheetView showGridLines="0" zoomScaleNormal="100" workbookViewId="0">
      <selection activeCell="E23" sqref="E23"/>
    </sheetView>
  </sheetViews>
  <sheetFormatPr defaultRowHeight="15" x14ac:dyDescent="0.25"/>
  <cols>
    <col min="1" max="1" width="6.28515625" bestFit="1" customWidth="1"/>
    <col min="2" max="2" width="48.28515625" customWidth="1"/>
    <col min="3" max="3" width="43.7109375" bestFit="1" customWidth="1"/>
    <col min="4" max="4" width="35.28515625" bestFit="1" customWidth="1"/>
    <col min="5" max="5" width="8.28515625" customWidth="1"/>
  </cols>
  <sheetData>
    <row r="1" spans="1:7" ht="17.25" x14ac:dyDescent="0.25">
      <c r="B1" s="2" t="s">
        <v>3</v>
      </c>
      <c r="C1" s="1"/>
    </row>
    <row r="2" spans="1:7" ht="17.25" x14ac:dyDescent="0.25">
      <c r="B2" s="2" t="s">
        <v>158</v>
      </c>
      <c r="C2" s="1"/>
    </row>
    <row r="3" spans="1:7" ht="17.25" x14ac:dyDescent="0.25">
      <c r="B3" s="2" t="s">
        <v>159</v>
      </c>
      <c r="C3" s="1"/>
    </row>
    <row r="4" spans="1:7" ht="49.5" customHeight="1" x14ac:dyDescent="0.25">
      <c r="B4" s="2" t="s">
        <v>162</v>
      </c>
      <c r="C4" s="5"/>
    </row>
    <row r="5" spans="1:7" ht="21" customHeight="1" x14ac:dyDescent="0.25"/>
    <row r="6" spans="1:7" x14ac:dyDescent="0.25">
      <c r="B6" s="423" t="s">
        <v>378</v>
      </c>
      <c r="C6" s="423"/>
      <c r="D6" s="423"/>
      <c r="F6" s="424" t="s">
        <v>379</v>
      </c>
      <c r="G6" s="425"/>
    </row>
    <row r="7" spans="1:7" x14ac:dyDescent="0.25">
      <c r="B7" s="6" t="s">
        <v>165</v>
      </c>
      <c r="C7" s="4"/>
      <c r="D7" s="4"/>
      <c r="F7" s="4"/>
      <c r="G7" s="4"/>
    </row>
    <row r="8" spans="1:7" x14ac:dyDescent="0.25">
      <c r="B8" s="6" t="s">
        <v>169</v>
      </c>
      <c r="C8" s="3"/>
      <c r="D8" s="1"/>
      <c r="F8" s="3"/>
      <c r="G8" s="1"/>
    </row>
    <row r="9" spans="1:7" x14ac:dyDescent="0.25">
      <c r="B9" s="6" t="s">
        <v>171</v>
      </c>
      <c r="C9" s="1"/>
      <c r="D9" s="1"/>
      <c r="F9" s="3"/>
      <c r="G9" s="1"/>
    </row>
    <row r="10" spans="1:7" x14ac:dyDescent="0.25">
      <c r="B10" s="6" t="s">
        <v>743</v>
      </c>
      <c r="C10" s="1"/>
      <c r="D10" s="1"/>
      <c r="F10" s="3"/>
      <c r="G10" s="1"/>
    </row>
    <row r="11" spans="1:7" x14ac:dyDescent="0.25">
      <c r="B11" s="23" t="s">
        <v>744</v>
      </c>
      <c r="C11" s="1"/>
      <c r="D11" s="1"/>
      <c r="F11" s="3"/>
      <c r="G11" s="1"/>
    </row>
    <row r="12" spans="1:7" x14ac:dyDescent="0.25">
      <c r="A12" s="6" t="s">
        <v>178</v>
      </c>
      <c r="B12" s="6" t="s">
        <v>179</v>
      </c>
      <c r="C12" s="1"/>
      <c r="D12" s="1"/>
      <c r="F12" s="7"/>
      <c r="G12" s="7"/>
    </row>
    <row r="13" spans="1:7" x14ac:dyDescent="0.25">
      <c r="A13" s="6">
        <v>1</v>
      </c>
      <c r="B13" s="6" t="s">
        <v>727</v>
      </c>
      <c r="C13" s="1"/>
      <c r="D13" s="1"/>
      <c r="F13" s="1"/>
      <c r="G13" s="1"/>
    </row>
    <row r="14" spans="1:7" x14ac:dyDescent="0.25">
      <c r="A14" s="6">
        <v>2</v>
      </c>
      <c r="B14" s="6" t="s">
        <v>727</v>
      </c>
      <c r="C14" s="1"/>
      <c r="D14" s="1"/>
      <c r="F14" s="1"/>
      <c r="G14" s="1"/>
    </row>
  </sheetData>
  <mergeCells count="2">
    <mergeCell ref="B6:D6"/>
    <mergeCell ref="F6:G6"/>
  </mergeCells>
  <conditionalFormatting sqref="C8">
    <cfRule type="duplicateValues" dxfId="32" priority="3"/>
  </conditionalFormatting>
  <conditionalFormatting sqref="C7:D7">
    <cfRule type="duplicateValues" dxfId="31" priority="4"/>
  </conditionalFormatting>
  <conditionalFormatting sqref="F8:F11">
    <cfRule type="duplicateValues" dxfId="30" priority="1"/>
  </conditionalFormatting>
  <conditionalFormatting sqref="F7:G7">
    <cfRule type="duplicateValues" dxfId="29" priority="2"/>
  </conditionalFormatting>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E0F6BF-1C74-470E-B0C8-7FC130091574}">
  <sheetPr>
    <tabColor theme="9" tint="-0.499984740745262"/>
  </sheetPr>
  <dimension ref="A1:Q56"/>
  <sheetViews>
    <sheetView showGridLines="0" topLeftCell="A10" zoomScaleNormal="100" workbookViewId="0">
      <selection activeCell="A12" sqref="A12:XFD12"/>
    </sheetView>
  </sheetViews>
  <sheetFormatPr defaultRowHeight="15" x14ac:dyDescent="0.25"/>
  <cols>
    <col min="1" max="1" width="6.28515625" bestFit="1" customWidth="1"/>
    <col min="2" max="2" width="23.7109375" bestFit="1" customWidth="1"/>
    <col min="3" max="3" width="43.7109375" bestFit="1" customWidth="1"/>
    <col min="4" max="4" width="23" customWidth="1"/>
    <col min="5" max="5" width="7.28515625" style="305" customWidth="1"/>
    <col min="6" max="8" width="26.7109375" customWidth="1"/>
    <col min="9" max="9" width="32" customWidth="1"/>
    <col min="10" max="10" width="26.7109375" customWidth="1"/>
    <col min="11" max="11" width="23.28515625" customWidth="1"/>
    <col min="12" max="12" width="16.7109375" customWidth="1"/>
  </cols>
  <sheetData>
    <row r="1" spans="1:17" ht="17.25" x14ac:dyDescent="0.25">
      <c r="B1" s="2" t="s">
        <v>3</v>
      </c>
      <c r="C1" s="1" t="s">
        <v>82</v>
      </c>
    </row>
    <row r="2" spans="1:17" ht="17.25" x14ac:dyDescent="0.25">
      <c r="B2" s="2" t="s">
        <v>158</v>
      </c>
      <c r="C2" s="1" t="s">
        <v>82</v>
      </c>
    </row>
    <row r="3" spans="1:17" s="47" customFormat="1" ht="17.25" x14ac:dyDescent="0.25">
      <c r="B3" s="48" t="s">
        <v>159</v>
      </c>
      <c r="C3" s="49" t="s">
        <v>199</v>
      </c>
      <c r="E3" s="306"/>
    </row>
    <row r="4" spans="1:17" ht="45" x14ac:dyDescent="0.25">
      <c r="B4" s="2" t="s">
        <v>162</v>
      </c>
      <c r="C4" s="5" t="s">
        <v>83</v>
      </c>
      <c r="D4" s="25"/>
    </row>
    <row r="5" spans="1:17" ht="24.75" customHeight="1" x14ac:dyDescent="0.25"/>
    <row r="6" spans="1:17" x14ac:dyDescent="0.25">
      <c r="B6" s="6" t="s">
        <v>163</v>
      </c>
      <c r="C6" s="253" t="s">
        <v>164</v>
      </c>
      <c r="D6" s="253" t="s">
        <v>164</v>
      </c>
      <c r="F6" s="256" t="s">
        <v>200</v>
      </c>
      <c r="G6" s="256" t="s">
        <v>200</v>
      </c>
      <c r="H6" s="256" t="s">
        <v>200</v>
      </c>
      <c r="I6" s="256" t="s">
        <v>200</v>
      </c>
      <c r="J6" s="256" t="s">
        <v>200</v>
      </c>
      <c r="K6" s="277" t="s">
        <v>745</v>
      </c>
      <c r="L6" s="277" t="s">
        <v>745</v>
      </c>
    </row>
    <row r="7" spans="1:17" x14ac:dyDescent="0.25">
      <c r="B7" s="6" t="s">
        <v>165</v>
      </c>
      <c r="C7" s="244" t="s">
        <v>167</v>
      </c>
      <c r="D7" s="244" t="s">
        <v>222</v>
      </c>
      <c r="F7" s="244" t="s">
        <v>746</v>
      </c>
      <c r="G7" s="244" t="s">
        <v>747</v>
      </c>
      <c r="H7" s="244" t="s">
        <v>748</v>
      </c>
      <c r="I7" s="244" t="s">
        <v>749</v>
      </c>
      <c r="J7" s="244" t="s">
        <v>750</v>
      </c>
      <c r="K7" s="316" t="s">
        <v>751</v>
      </c>
      <c r="L7" s="316" t="s">
        <v>752</v>
      </c>
    </row>
    <row r="8" spans="1:17" s="47" customFormat="1" x14ac:dyDescent="0.25">
      <c r="B8" s="51" t="s">
        <v>169</v>
      </c>
      <c r="C8" s="247"/>
      <c r="D8" s="247"/>
      <c r="E8" s="306"/>
      <c r="F8" s="247"/>
      <c r="G8" s="248"/>
      <c r="H8" s="248"/>
      <c r="I8" s="248"/>
      <c r="J8" s="248"/>
      <c r="K8" s="311"/>
      <c r="L8" s="311"/>
    </row>
    <row r="9" spans="1:17" s="47" customFormat="1" x14ac:dyDescent="0.25">
      <c r="B9" s="51" t="s">
        <v>171</v>
      </c>
      <c r="C9" s="248" t="s">
        <v>172</v>
      </c>
      <c r="D9" s="248" t="s">
        <v>172</v>
      </c>
      <c r="E9" s="306"/>
      <c r="F9" s="289"/>
      <c r="G9" s="289"/>
      <c r="H9" s="289"/>
      <c r="I9" s="289"/>
      <c r="J9" s="289"/>
      <c r="K9" s="312" t="s">
        <v>239</v>
      </c>
      <c r="L9" s="312" t="s">
        <v>358</v>
      </c>
    </row>
    <row r="10" spans="1:17" ht="90" x14ac:dyDescent="0.25">
      <c r="B10" s="6" t="s">
        <v>237</v>
      </c>
      <c r="C10" s="249" t="s">
        <v>241</v>
      </c>
      <c r="D10" s="249" t="s">
        <v>241</v>
      </c>
      <c r="F10" s="251"/>
      <c r="G10" s="251"/>
      <c r="H10" s="251"/>
      <c r="I10" s="251"/>
      <c r="J10" s="251"/>
      <c r="K10" s="313" t="s">
        <v>753</v>
      </c>
      <c r="L10" s="313" t="s">
        <v>754</v>
      </c>
    </row>
    <row r="11" spans="1:17" ht="75" x14ac:dyDescent="0.25">
      <c r="A11" s="6" t="s">
        <v>178</v>
      </c>
      <c r="B11" s="6" t="s">
        <v>179</v>
      </c>
      <c r="C11" s="251" t="s">
        <v>495</v>
      </c>
      <c r="D11" s="251" t="s">
        <v>496</v>
      </c>
      <c r="F11" s="251"/>
      <c r="G11" s="251"/>
      <c r="H11" s="251"/>
      <c r="I11" s="251"/>
      <c r="J11" s="251"/>
      <c r="K11" s="314" t="s">
        <v>239</v>
      </c>
      <c r="L11" s="314" t="s">
        <v>240</v>
      </c>
    </row>
    <row r="12" spans="1:17" x14ac:dyDescent="0.25">
      <c r="A12" s="6"/>
      <c r="B12" s="418" t="s">
        <v>692</v>
      </c>
      <c r="C12" s="419"/>
      <c r="D12" s="419"/>
      <c r="E12" s="419"/>
      <c r="F12" s="419"/>
      <c r="G12" s="419"/>
      <c r="H12" s="419"/>
      <c r="I12" s="419"/>
      <c r="J12" s="419"/>
      <c r="K12" s="419"/>
      <c r="L12" s="419"/>
      <c r="M12" s="419"/>
      <c r="N12" s="419"/>
      <c r="O12" s="419"/>
      <c r="P12" s="420"/>
      <c r="Q12" s="72"/>
    </row>
    <row r="13" spans="1:17" ht="14.25" customHeight="1" x14ac:dyDescent="0.25">
      <c r="A13" s="81">
        <v>10</v>
      </c>
      <c r="B13" s="119" t="s">
        <v>182</v>
      </c>
      <c r="C13" s="82" t="s">
        <v>257</v>
      </c>
      <c r="D13" s="82" t="s">
        <v>308</v>
      </c>
      <c r="E13" s="308"/>
      <c r="F13" s="120" t="b">
        <v>0</v>
      </c>
      <c r="G13" s="121" t="b">
        <v>0</v>
      </c>
      <c r="H13" s="121" t="b">
        <v>0</v>
      </c>
      <c r="I13" s="121" t="b">
        <v>0</v>
      </c>
      <c r="J13" s="121" t="b">
        <v>0</v>
      </c>
      <c r="K13" s="310"/>
      <c r="L13" s="309"/>
    </row>
    <row r="14" spans="1:17" ht="14.25" customHeight="1" x14ac:dyDescent="0.25">
      <c r="A14" s="79">
        <v>11</v>
      </c>
      <c r="B14" s="119" t="s">
        <v>182</v>
      </c>
      <c r="C14" s="82" t="s">
        <v>259</v>
      </c>
      <c r="D14" s="82" t="s">
        <v>308</v>
      </c>
      <c r="E14" s="308"/>
      <c r="F14" s="120" t="b">
        <v>0</v>
      </c>
      <c r="G14" s="121" t="b">
        <v>0</v>
      </c>
      <c r="H14" s="121" t="b">
        <v>0</v>
      </c>
      <c r="I14" s="121" t="b">
        <v>0</v>
      </c>
      <c r="J14" s="121" t="b">
        <v>0</v>
      </c>
      <c r="K14" s="310"/>
      <c r="L14" s="309"/>
    </row>
    <row r="15" spans="1:17" ht="14.25" customHeight="1" x14ac:dyDescent="0.25">
      <c r="A15" s="81">
        <v>12</v>
      </c>
      <c r="B15" s="119" t="s">
        <v>182</v>
      </c>
      <c r="C15" s="82" t="s">
        <v>261</v>
      </c>
      <c r="D15" s="82" t="s">
        <v>308</v>
      </c>
      <c r="E15" s="308"/>
      <c r="F15" s="122" t="b">
        <v>1</v>
      </c>
      <c r="G15" s="122" t="b">
        <v>1</v>
      </c>
      <c r="H15" s="121" t="b">
        <v>0</v>
      </c>
      <c r="I15" s="121" t="b">
        <v>0</v>
      </c>
      <c r="J15" s="121" t="b">
        <v>0</v>
      </c>
      <c r="K15" s="310"/>
      <c r="L15" s="309"/>
    </row>
    <row r="16" spans="1:17" ht="14.25" customHeight="1" x14ac:dyDescent="0.25">
      <c r="A16" s="79">
        <v>13</v>
      </c>
      <c r="B16" s="119" t="s">
        <v>182</v>
      </c>
      <c r="C16" s="82" t="s">
        <v>260</v>
      </c>
      <c r="D16" s="82" t="s">
        <v>308</v>
      </c>
      <c r="E16" s="308"/>
      <c r="F16" s="122" t="b">
        <v>1</v>
      </c>
      <c r="G16" s="122" t="b">
        <v>1</v>
      </c>
      <c r="H16" s="121" t="b">
        <v>0</v>
      </c>
      <c r="I16" s="121" t="b">
        <v>0</v>
      </c>
      <c r="J16" s="121" t="b">
        <v>0</v>
      </c>
      <c r="K16" s="310"/>
      <c r="L16" s="309"/>
    </row>
    <row r="17" spans="1:17" ht="14.25" customHeight="1" x14ac:dyDescent="0.25">
      <c r="A17" s="81">
        <v>14</v>
      </c>
      <c r="B17" s="119" t="s">
        <v>182</v>
      </c>
      <c r="C17" s="82" t="s">
        <v>262</v>
      </c>
      <c r="D17" s="82" t="s">
        <v>308</v>
      </c>
      <c r="E17" s="308"/>
      <c r="F17" s="120" t="b">
        <v>0</v>
      </c>
      <c r="G17" s="121" t="b">
        <v>0</v>
      </c>
      <c r="H17" s="121" t="b">
        <v>0</v>
      </c>
      <c r="I17" s="121" t="b">
        <v>0</v>
      </c>
      <c r="J17" s="121" t="b">
        <v>0</v>
      </c>
      <c r="K17" s="310"/>
      <c r="L17" s="309"/>
    </row>
    <row r="18" spans="1:17" ht="14.25" customHeight="1" x14ac:dyDescent="0.25">
      <c r="A18" s="79">
        <v>15</v>
      </c>
      <c r="B18" s="119" t="s">
        <v>182</v>
      </c>
      <c r="C18" s="82" t="s">
        <v>263</v>
      </c>
      <c r="D18" s="82" t="s">
        <v>308</v>
      </c>
      <c r="E18" s="308"/>
      <c r="F18" s="120" t="b">
        <v>0</v>
      </c>
      <c r="G18" s="121" t="b">
        <v>0</v>
      </c>
      <c r="H18" s="121" t="b">
        <v>0</v>
      </c>
      <c r="I18" s="121" t="b">
        <v>0</v>
      </c>
      <c r="J18" s="121" t="b">
        <v>0</v>
      </c>
      <c r="K18" s="310"/>
      <c r="L18" s="309"/>
    </row>
    <row r="19" spans="1:17" ht="14.25" customHeight="1" x14ac:dyDescent="0.25">
      <c r="A19" s="81">
        <v>16</v>
      </c>
      <c r="B19" s="119" t="s">
        <v>182</v>
      </c>
      <c r="C19" s="82" t="s">
        <v>265</v>
      </c>
      <c r="D19" s="82" t="s">
        <v>308</v>
      </c>
      <c r="E19" s="308"/>
      <c r="F19" s="384" t="b">
        <v>1</v>
      </c>
      <c r="G19" s="121" t="b">
        <v>0</v>
      </c>
      <c r="H19" s="121" t="b">
        <v>0</v>
      </c>
      <c r="I19" s="121" t="b">
        <v>0</v>
      </c>
      <c r="J19" s="121" t="b">
        <v>0</v>
      </c>
      <c r="K19" s="310"/>
      <c r="L19" s="309"/>
    </row>
    <row r="20" spans="1:17" ht="14.25" customHeight="1" x14ac:dyDescent="0.25">
      <c r="A20" s="79">
        <v>17</v>
      </c>
      <c r="B20" s="119" t="s">
        <v>182</v>
      </c>
      <c r="C20" s="82" t="s">
        <v>266</v>
      </c>
      <c r="D20" s="82" t="s">
        <v>308</v>
      </c>
      <c r="E20" s="308"/>
      <c r="F20" s="122" t="b">
        <v>1</v>
      </c>
      <c r="G20" s="122" t="b">
        <v>1</v>
      </c>
      <c r="H20" s="122" t="b">
        <v>1</v>
      </c>
      <c r="I20" s="122" t="b">
        <v>1</v>
      </c>
      <c r="J20" s="122" t="b">
        <v>1</v>
      </c>
      <c r="K20" s="310"/>
      <c r="L20" s="309"/>
    </row>
    <row r="21" spans="1:17" ht="13.5" customHeight="1" x14ac:dyDescent="0.25">
      <c r="A21" s="81">
        <v>18</v>
      </c>
      <c r="B21" s="119" t="s">
        <v>182</v>
      </c>
      <c r="C21" s="82" t="s">
        <v>267</v>
      </c>
      <c r="D21" s="82" t="s">
        <v>308</v>
      </c>
      <c r="E21" s="308"/>
      <c r="F21" s="384" t="b">
        <v>1</v>
      </c>
      <c r="G21" s="122" t="b">
        <v>1</v>
      </c>
      <c r="H21" s="385" t="b">
        <v>0</v>
      </c>
      <c r="I21" s="121" t="b">
        <v>0</v>
      </c>
      <c r="J21" s="121" t="b">
        <v>0</v>
      </c>
      <c r="K21" s="315"/>
      <c r="L21" s="310"/>
    </row>
    <row r="22" spans="1:17" ht="13.5" customHeight="1" x14ac:dyDescent="0.25">
      <c r="A22" s="6"/>
      <c r="B22" s="418" t="s">
        <v>698</v>
      </c>
      <c r="C22" s="419"/>
      <c r="D22" s="419"/>
      <c r="E22" s="419"/>
      <c r="F22" s="419"/>
      <c r="G22" s="419"/>
      <c r="H22" s="419"/>
      <c r="I22" s="419"/>
      <c r="J22" s="419"/>
      <c r="K22" s="419"/>
      <c r="L22" s="419"/>
      <c r="M22" s="419"/>
      <c r="N22" s="419"/>
      <c r="O22" s="419"/>
      <c r="P22" s="420"/>
      <c r="Q22" s="72"/>
    </row>
    <row r="23" spans="1:17" ht="13.5" customHeight="1" x14ac:dyDescent="0.25">
      <c r="A23" s="79">
        <v>19</v>
      </c>
      <c r="B23" s="119" t="s">
        <v>182</v>
      </c>
      <c r="C23" s="82" t="s">
        <v>266</v>
      </c>
      <c r="D23" s="82" t="s">
        <v>333</v>
      </c>
      <c r="E23" s="308"/>
      <c r="F23" s="122" t="b">
        <v>1</v>
      </c>
      <c r="G23" s="122" t="b">
        <v>1</v>
      </c>
      <c r="H23" s="122" t="b">
        <v>1</v>
      </c>
      <c r="I23" s="121" t="b">
        <v>0</v>
      </c>
      <c r="J23" s="122" t="b">
        <v>1</v>
      </c>
      <c r="K23" s="315"/>
      <c r="L23" s="309"/>
    </row>
    <row r="24" spans="1:17" ht="13.5" customHeight="1" x14ac:dyDescent="0.25">
      <c r="A24" s="81">
        <v>20</v>
      </c>
      <c r="B24" s="119" t="s">
        <v>182</v>
      </c>
      <c r="C24" s="82" t="s">
        <v>266</v>
      </c>
      <c r="D24" s="82" t="s">
        <v>755</v>
      </c>
      <c r="E24" s="308"/>
      <c r="F24" s="122" t="b">
        <v>1</v>
      </c>
      <c r="G24" s="122" t="b">
        <v>1</v>
      </c>
      <c r="H24" s="121" t="b">
        <v>0</v>
      </c>
      <c r="I24" s="121" t="b">
        <v>0</v>
      </c>
      <c r="J24" s="122" t="b">
        <v>1</v>
      </c>
      <c r="K24" s="310"/>
      <c r="L24" s="309"/>
    </row>
    <row r="25" spans="1:17" ht="13.5" customHeight="1" x14ac:dyDescent="0.25">
      <c r="A25" s="79">
        <v>21</v>
      </c>
      <c r="B25" s="119" t="s">
        <v>182</v>
      </c>
      <c r="C25" s="82" t="s">
        <v>266</v>
      </c>
      <c r="D25" s="82" t="s">
        <v>335</v>
      </c>
      <c r="E25" s="308"/>
      <c r="F25" s="122" t="b">
        <v>1</v>
      </c>
      <c r="G25" s="122" t="b">
        <v>1</v>
      </c>
      <c r="H25" s="122" t="b">
        <v>1</v>
      </c>
      <c r="I25" s="385" t="b">
        <v>0</v>
      </c>
      <c r="J25" s="122" t="b">
        <v>1</v>
      </c>
      <c r="K25" s="310"/>
      <c r="L25" s="309"/>
    </row>
    <row r="26" spans="1:17" ht="13.5" customHeight="1" x14ac:dyDescent="0.25">
      <c r="A26" s="81">
        <v>22</v>
      </c>
      <c r="B26" s="119" t="s">
        <v>182</v>
      </c>
      <c r="C26" s="82" t="s">
        <v>267</v>
      </c>
      <c r="D26" s="82" t="s">
        <v>335</v>
      </c>
      <c r="E26" s="308"/>
      <c r="F26" s="122" t="b">
        <v>1</v>
      </c>
      <c r="G26" s="122" t="b">
        <v>1</v>
      </c>
      <c r="H26" s="122" t="b">
        <v>1</v>
      </c>
      <c r="I26" s="121" t="b">
        <v>0</v>
      </c>
      <c r="J26" s="122" t="b">
        <v>1</v>
      </c>
      <c r="K26" s="310"/>
      <c r="L26" s="309"/>
    </row>
    <row r="27" spans="1:17" ht="13.5" customHeight="1" x14ac:dyDescent="0.25">
      <c r="A27" s="6"/>
      <c r="B27" s="418" t="s">
        <v>699</v>
      </c>
      <c r="C27" s="419"/>
      <c r="D27" s="419"/>
      <c r="E27" s="419"/>
      <c r="F27" s="419"/>
      <c r="G27" s="419"/>
      <c r="H27" s="419"/>
      <c r="I27" s="419"/>
      <c r="J27" s="419"/>
      <c r="K27" s="419"/>
      <c r="L27" s="419"/>
      <c r="M27" s="419"/>
      <c r="N27" s="419"/>
      <c r="O27" s="419"/>
      <c r="P27" s="420"/>
      <c r="Q27" s="72"/>
    </row>
    <row r="28" spans="1:17" ht="14.25" customHeight="1" x14ac:dyDescent="0.25">
      <c r="A28" s="79">
        <v>1</v>
      </c>
      <c r="B28" s="116" t="s">
        <v>182</v>
      </c>
      <c r="C28" s="80" t="s">
        <v>257</v>
      </c>
      <c r="D28" s="80" t="s">
        <v>270</v>
      </c>
      <c r="E28" s="308"/>
      <c r="F28" s="117" t="b">
        <v>0</v>
      </c>
      <c r="G28" s="118" t="b">
        <v>0</v>
      </c>
      <c r="H28" s="118" t="b">
        <v>0</v>
      </c>
      <c r="I28" s="118" t="b">
        <v>0</v>
      </c>
      <c r="J28" s="118" t="b">
        <v>0</v>
      </c>
      <c r="K28" s="309"/>
      <c r="L28" s="309"/>
    </row>
    <row r="29" spans="1:17" ht="14.25" customHeight="1" x14ac:dyDescent="0.25">
      <c r="A29" s="81">
        <v>2</v>
      </c>
      <c r="B29" s="119" t="s">
        <v>182</v>
      </c>
      <c r="C29" s="82" t="s">
        <v>259</v>
      </c>
      <c r="D29" s="82" t="s">
        <v>270</v>
      </c>
      <c r="E29" s="308"/>
      <c r="F29" s="120" t="b">
        <v>0</v>
      </c>
      <c r="G29" s="121" t="b">
        <v>0</v>
      </c>
      <c r="H29" s="121" t="b">
        <v>0</v>
      </c>
      <c r="I29" s="121" t="b">
        <v>0</v>
      </c>
      <c r="J29" s="121" t="b">
        <v>0</v>
      </c>
      <c r="K29" s="310"/>
      <c r="L29" s="309"/>
    </row>
    <row r="30" spans="1:17" ht="14.25" customHeight="1" x14ac:dyDescent="0.25">
      <c r="A30" s="79">
        <v>3</v>
      </c>
      <c r="B30" s="119" t="s">
        <v>182</v>
      </c>
      <c r="C30" s="82" t="s">
        <v>261</v>
      </c>
      <c r="D30" s="82" t="s">
        <v>270</v>
      </c>
      <c r="E30" s="308"/>
      <c r="F30" s="122" t="b">
        <v>1</v>
      </c>
      <c r="G30" s="122" t="b">
        <v>1</v>
      </c>
      <c r="H30" s="121" t="b">
        <v>0</v>
      </c>
      <c r="I30" s="121" t="b">
        <v>0</v>
      </c>
      <c r="J30" s="121" t="b">
        <v>0</v>
      </c>
      <c r="K30" s="310"/>
      <c r="L30" s="309"/>
    </row>
    <row r="31" spans="1:17" ht="14.25" customHeight="1" x14ac:dyDescent="0.25">
      <c r="A31" s="81">
        <v>4</v>
      </c>
      <c r="B31" s="119" t="s">
        <v>182</v>
      </c>
      <c r="C31" s="82" t="s">
        <v>260</v>
      </c>
      <c r="D31" s="82" t="s">
        <v>270</v>
      </c>
      <c r="E31" s="308"/>
      <c r="F31" s="122" t="b">
        <v>1</v>
      </c>
      <c r="G31" s="122" t="b">
        <v>1</v>
      </c>
      <c r="H31" s="121" t="b">
        <v>0</v>
      </c>
      <c r="I31" s="121" t="b">
        <v>0</v>
      </c>
      <c r="J31" s="121" t="b">
        <v>0</v>
      </c>
      <c r="K31" s="310"/>
      <c r="L31" s="309"/>
    </row>
    <row r="32" spans="1:17" ht="14.25" customHeight="1" x14ac:dyDescent="0.25">
      <c r="A32" s="79">
        <v>5</v>
      </c>
      <c r="B32" s="119" t="s">
        <v>182</v>
      </c>
      <c r="C32" s="82" t="s">
        <v>262</v>
      </c>
      <c r="D32" s="82" t="s">
        <v>270</v>
      </c>
      <c r="E32" s="308"/>
      <c r="F32" s="120" t="b">
        <v>0</v>
      </c>
      <c r="G32" s="121" t="b">
        <v>0</v>
      </c>
      <c r="H32" s="121" t="b">
        <v>0</v>
      </c>
      <c r="I32" s="121" t="b">
        <v>0</v>
      </c>
      <c r="J32" s="121" t="b">
        <v>0</v>
      </c>
      <c r="K32" s="310"/>
      <c r="L32" s="309"/>
    </row>
    <row r="33" spans="1:12" ht="14.25" customHeight="1" x14ac:dyDescent="0.25">
      <c r="A33" s="81">
        <v>6</v>
      </c>
      <c r="B33" s="119" t="s">
        <v>182</v>
      </c>
      <c r="C33" s="82" t="s">
        <v>263</v>
      </c>
      <c r="D33" s="82" t="s">
        <v>270</v>
      </c>
      <c r="E33" s="308"/>
      <c r="F33" s="120" t="b">
        <v>0</v>
      </c>
      <c r="G33" s="121" t="b">
        <v>0</v>
      </c>
      <c r="H33" s="121" t="b">
        <v>0</v>
      </c>
      <c r="I33" s="121" t="b">
        <v>0</v>
      </c>
      <c r="J33" s="121" t="b">
        <v>0</v>
      </c>
      <c r="K33" s="310"/>
      <c r="L33" s="309"/>
    </row>
    <row r="34" spans="1:12" ht="14.25" customHeight="1" x14ac:dyDescent="0.25">
      <c r="A34" s="79">
        <v>7</v>
      </c>
      <c r="B34" s="119" t="s">
        <v>182</v>
      </c>
      <c r="C34" s="82" t="s">
        <v>265</v>
      </c>
      <c r="D34" s="82" t="s">
        <v>270</v>
      </c>
      <c r="E34" s="308"/>
      <c r="F34" s="120" t="b">
        <v>0</v>
      </c>
      <c r="G34" s="121" t="b">
        <v>0</v>
      </c>
      <c r="H34" s="121" t="b">
        <v>0</v>
      </c>
      <c r="I34" s="121" t="b">
        <v>0</v>
      </c>
      <c r="J34" s="121" t="b">
        <v>0</v>
      </c>
      <c r="K34" s="310"/>
      <c r="L34" s="309"/>
    </row>
    <row r="35" spans="1:12" ht="14.25" customHeight="1" x14ac:dyDescent="0.25">
      <c r="A35" s="81">
        <v>8</v>
      </c>
      <c r="B35" s="119" t="s">
        <v>182</v>
      </c>
      <c r="C35" s="82" t="s">
        <v>266</v>
      </c>
      <c r="D35" s="82" t="s">
        <v>270</v>
      </c>
      <c r="E35" s="308"/>
      <c r="F35" s="122" t="b">
        <v>1</v>
      </c>
      <c r="G35" s="122" t="b">
        <v>1</v>
      </c>
      <c r="H35" s="122" t="b">
        <v>1</v>
      </c>
      <c r="I35" s="122" t="b">
        <v>1</v>
      </c>
      <c r="J35" s="122" t="b">
        <v>1</v>
      </c>
      <c r="K35" s="310"/>
      <c r="L35" s="309"/>
    </row>
    <row r="36" spans="1:12" ht="14.25" customHeight="1" x14ac:dyDescent="0.25">
      <c r="A36" s="79">
        <v>9</v>
      </c>
      <c r="B36" s="119" t="s">
        <v>182</v>
      </c>
      <c r="C36" s="82" t="s">
        <v>267</v>
      </c>
      <c r="D36" s="82" t="s">
        <v>270</v>
      </c>
      <c r="E36" s="308"/>
      <c r="F36" s="122" t="b">
        <v>1</v>
      </c>
      <c r="G36" s="122" t="b">
        <v>1</v>
      </c>
      <c r="H36" s="122" t="b">
        <v>1</v>
      </c>
      <c r="I36" s="121" t="b">
        <v>0</v>
      </c>
      <c r="J36" s="121" t="b">
        <v>0</v>
      </c>
      <c r="K36" s="315"/>
      <c r="L36" s="310"/>
    </row>
    <row r="37" spans="1:12" x14ac:dyDescent="0.25">
      <c r="A37" s="79">
        <v>23</v>
      </c>
      <c r="B37" s="6" t="s">
        <v>194</v>
      </c>
      <c r="C37" s="16" t="s">
        <v>250</v>
      </c>
      <c r="D37" s="16"/>
      <c r="F37" s="1" t="b">
        <v>0</v>
      </c>
      <c r="G37" s="1" t="b">
        <v>0</v>
      </c>
      <c r="H37" s="1" t="b">
        <v>0</v>
      </c>
      <c r="I37" s="1" t="b">
        <v>0</v>
      </c>
      <c r="J37" s="1" t="b">
        <v>0</v>
      </c>
      <c r="K37" s="310"/>
      <c r="L37" s="309"/>
    </row>
    <row r="38" spans="1:12" x14ac:dyDescent="0.25">
      <c r="A38" s="81">
        <v>24</v>
      </c>
      <c r="B38" s="6" t="s">
        <v>194</v>
      </c>
      <c r="C38" s="16" t="s">
        <v>253</v>
      </c>
      <c r="D38" s="16"/>
      <c r="F38" s="1" t="b">
        <v>0</v>
      </c>
      <c r="G38" s="1" t="b">
        <v>0</v>
      </c>
      <c r="H38" s="1" t="b">
        <v>0</v>
      </c>
      <c r="I38" s="1" t="b">
        <v>0</v>
      </c>
      <c r="J38" s="1" t="b">
        <v>0</v>
      </c>
      <c r="K38" s="310"/>
      <c r="L38" s="309"/>
    </row>
    <row r="39" spans="1:12" x14ac:dyDescent="0.25">
      <c r="A39" s="79">
        <v>25</v>
      </c>
      <c r="B39" s="6" t="s">
        <v>194</v>
      </c>
      <c r="C39" s="16" t="s">
        <v>256</v>
      </c>
      <c r="D39" s="16"/>
      <c r="F39" s="1" t="b">
        <v>0</v>
      </c>
      <c r="G39" s="1" t="b">
        <v>0</v>
      </c>
      <c r="H39" s="1" t="b">
        <v>0</v>
      </c>
      <c r="I39" s="1" t="b">
        <v>0</v>
      </c>
      <c r="J39" s="1" t="b">
        <v>0</v>
      </c>
      <c r="K39" s="310"/>
      <c r="L39" s="309"/>
    </row>
    <row r="40" spans="1:12" x14ac:dyDescent="0.25">
      <c r="A40" s="81">
        <v>26</v>
      </c>
      <c r="B40" s="6" t="s">
        <v>194</v>
      </c>
      <c r="C40" s="16" t="s">
        <v>257</v>
      </c>
      <c r="D40" s="16"/>
      <c r="F40" s="1" t="b">
        <v>0</v>
      </c>
      <c r="G40" s="1" t="b">
        <v>0</v>
      </c>
      <c r="H40" s="1" t="b">
        <v>0</v>
      </c>
      <c r="I40" s="1" t="b">
        <v>0</v>
      </c>
      <c r="J40" s="1" t="b">
        <v>0</v>
      </c>
      <c r="K40" s="310"/>
      <c r="L40" s="309"/>
    </row>
    <row r="41" spans="1:12" x14ac:dyDescent="0.25">
      <c r="A41" s="79">
        <v>27</v>
      </c>
      <c r="B41" s="6" t="s">
        <v>194</v>
      </c>
      <c r="C41" s="16" t="s">
        <v>259</v>
      </c>
      <c r="D41" s="16"/>
      <c r="F41" s="1" t="b">
        <v>0</v>
      </c>
      <c r="G41" s="1" t="b">
        <v>0</v>
      </c>
      <c r="H41" s="1" t="b">
        <v>0</v>
      </c>
      <c r="I41" s="1" t="b">
        <v>0</v>
      </c>
      <c r="J41" s="1" t="b">
        <v>0</v>
      </c>
      <c r="K41" s="310"/>
      <c r="L41" s="309"/>
    </row>
    <row r="42" spans="1:12" x14ac:dyDescent="0.25">
      <c r="A42" s="81">
        <v>28</v>
      </c>
      <c r="B42" s="6" t="s">
        <v>194</v>
      </c>
      <c r="C42" s="16" t="s">
        <v>260</v>
      </c>
      <c r="D42" s="16"/>
      <c r="F42" s="1" t="b">
        <v>0</v>
      </c>
      <c r="G42" s="1" t="b">
        <v>1</v>
      </c>
      <c r="H42" s="1" t="b">
        <v>0</v>
      </c>
      <c r="I42" s="1" t="b">
        <v>0</v>
      </c>
      <c r="J42" s="1" t="b">
        <v>0</v>
      </c>
      <c r="K42" s="310"/>
      <c r="L42" s="309"/>
    </row>
    <row r="43" spans="1:12" x14ac:dyDescent="0.25">
      <c r="A43" s="79">
        <v>29</v>
      </c>
      <c r="B43" s="6" t="s">
        <v>194</v>
      </c>
      <c r="C43" s="16" t="s">
        <v>261</v>
      </c>
      <c r="D43" s="16"/>
      <c r="F43" s="1" t="b">
        <v>0</v>
      </c>
      <c r="G43" s="1" t="b">
        <v>1</v>
      </c>
      <c r="H43" s="1" t="b">
        <v>0</v>
      </c>
      <c r="I43" s="1" t="b">
        <v>0</v>
      </c>
      <c r="J43" s="1" t="b">
        <v>0</v>
      </c>
      <c r="K43" s="310"/>
      <c r="L43" s="309"/>
    </row>
    <row r="44" spans="1:12" x14ac:dyDescent="0.25">
      <c r="A44" s="81">
        <v>30</v>
      </c>
      <c r="B44" s="6" t="s">
        <v>194</v>
      </c>
      <c r="C44" s="16" t="s">
        <v>262</v>
      </c>
      <c r="D44" s="16"/>
      <c r="F44" s="1" t="b">
        <v>0</v>
      </c>
      <c r="G44" s="1" t="b">
        <v>0</v>
      </c>
      <c r="H44" s="1" t="b">
        <v>0</v>
      </c>
      <c r="I44" s="1" t="b">
        <v>0</v>
      </c>
      <c r="J44" s="1" t="b">
        <v>0</v>
      </c>
      <c r="K44" s="310"/>
      <c r="L44" s="309"/>
    </row>
    <row r="45" spans="1:12" x14ac:dyDescent="0.25">
      <c r="A45" s="79">
        <v>31</v>
      </c>
      <c r="B45" s="6" t="s">
        <v>194</v>
      </c>
      <c r="C45" s="16" t="s">
        <v>263</v>
      </c>
      <c r="D45" s="16"/>
      <c r="F45" s="1" t="b">
        <v>0</v>
      </c>
      <c r="G45" s="1" t="b">
        <v>0</v>
      </c>
      <c r="H45" s="1" t="b">
        <v>0</v>
      </c>
      <c r="I45" s="1" t="b">
        <v>0</v>
      </c>
      <c r="J45" s="1" t="b">
        <v>0</v>
      </c>
      <c r="K45" s="310"/>
      <c r="L45" s="309"/>
    </row>
    <row r="46" spans="1:12" x14ac:dyDescent="0.25">
      <c r="A46" s="81">
        <v>32</v>
      </c>
      <c r="B46" s="6" t="s">
        <v>194</v>
      </c>
      <c r="C46" s="16" t="s">
        <v>264</v>
      </c>
      <c r="D46" s="16"/>
      <c r="F46" s="1" t="b">
        <v>0</v>
      </c>
      <c r="G46" s="1" t="b">
        <v>0</v>
      </c>
      <c r="H46" s="1" t="b">
        <v>0</v>
      </c>
      <c r="I46" s="1" t="b">
        <v>0</v>
      </c>
      <c r="J46" s="1" t="b">
        <v>0</v>
      </c>
      <c r="K46" s="310"/>
      <c r="L46" s="309"/>
    </row>
    <row r="47" spans="1:12" x14ac:dyDescent="0.25">
      <c r="A47" s="79">
        <v>33</v>
      </c>
      <c r="B47" s="6" t="s">
        <v>194</v>
      </c>
      <c r="C47" s="16" t="s">
        <v>265</v>
      </c>
      <c r="D47" s="16"/>
      <c r="F47" s="1" t="b">
        <v>0</v>
      </c>
      <c r="G47" s="1" t="b">
        <v>0</v>
      </c>
      <c r="H47" s="1" t="b">
        <v>0</v>
      </c>
      <c r="I47" s="1" t="b">
        <v>0</v>
      </c>
      <c r="J47" s="1" t="b">
        <v>0</v>
      </c>
      <c r="K47" s="310"/>
      <c r="L47" s="309"/>
    </row>
    <row r="48" spans="1:12" x14ac:dyDescent="0.25">
      <c r="A48" s="81">
        <v>34</v>
      </c>
      <c r="B48" s="6" t="s">
        <v>194</v>
      </c>
      <c r="C48" s="16" t="s">
        <v>266</v>
      </c>
      <c r="D48" s="16"/>
      <c r="F48" s="1" t="b">
        <v>0</v>
      </c>
      <c r="G48" s="1" t="b">
        <v>1</v>
      </c>
      <c r="H48" s="1" t="b">
        <v>1</v>
      </c>
      <c r="I48" s="1" t="b">
        <v>0</v>
      </c>
      <c r="J48" s="1" t="b">
        <v>1</v>
      </c>
      <c r="K48" s="310"/>
      <c r="L48" s="309"/>
    </row>
    <row r="49" spans="1:12" x14ac:dyDescent="0.25">
      <c r="A49" s="79">
        <v>35</v>
      </c>
      <c r="B49" s="6" t="s">
        <v>194</v>
      </c>
      <c r="C49" s="16" t="s">
        <v>267</v>
      </c>
      <c r="D49" s="16"/>
      <c r="F49" s="1" t="b">
        <v>0</v>
      </c>
      <c r="G49" s="1" t="b">
        <v>0</v>
      </c>
      <c r="H49" s="1" t="b">
        <v>0</v>
      </c>
      <c r="I49" s="1" t="b">
        <v>0</v>
      </c>
      <c r="J49" s="1" t="b">
        <v>0</v>
      </c>
      <c r="K49" s="310"/>
      <c r="L49" s="309"/>
    </row>
    <row r="50" spans="1:12" ht="30" x14ac:dyDescent="0.25">
      <c r="A50" s="83"/>
      <c r="B50" s="6" t="s">
        <v>182</v>
      </c>
      <c r="C50" s="84" t="s">
        <v>262</v>
      </c>
      <c r="D50" s="84" t="s">
        <v>311</v>
      </c>
      <c r="F50" s="84" t="b">
        <v>0</v>
      </c>
      <c r="G50" s="84" t="b">
        <v>0</v>
      </c>
      <c r="H50" s="84" t="b">
        <v>0</v>
      </c>
      <c r="I50" s="84" t="b">
        <v>0</v>
      </c>
      <c r="J50" s="84" t="b">
        <v>0</v>
      </c>
      <c r="K50" s="305"/>
      <c r="L50" s="310"/>
    </row>
    <row r="51" spans="1:12" ht="30" x14ac:dyDescent="0.25">
      <c r="A51" s="83"/>
      <c r="B51" s="6" t="s">
        <v>182</v>
      </c>
      <c r="C51" s="84" t="s">
        <v>265</v>
      </c>
      <c r="D51" s="84" t="s">
        <v>311</v>
      </c>
      <c r="F51" s="84" t="b">
        <f>F15</f>
        <v>1</v>
      </c>
      <c r="G51" s="84" t="b">
        <f>G15</f>
        <v>1</v>
      </c>
      <c r="H51" s="84" t="b">
        <f>H15</f>
        <v>0</v>
      </c>
      <c r="I51" s="84" t="b">
        <f>I15</f>
        <v>0</v>
      </c>
      <c r="J51" s="84" t="b">
        <f>J15</f>
        <v>0</v>
      </c>
      <c r="K51" s="310"/>
      <c r="L51" s="309"/>
    </row>
    <row r="52" spans="1:12" ht="30" x14ac:dyDescent="0.25">
      <c r="A52" s="83"/>
      <c r="B52" s="6" t="s">
        <v>182</v>
      </c>
      <c r="C52" s="84" t="s">
        <v>263</v>
      </c>
      <c r="D52" s="84" t="s">
        <v>311</v>
      </c>
      <c r="F52" s="84" t="b">
        <f>F13</f>
        <v>0</v>
      </c>
      <c r="G52" s="84" t="b">
        <f>G13</f>
        <v>0</v>
      </c>
      <c r="H52" s="84" t="b">
        <f>H13</f>
        <v>0</v>
      </c>
      <c r="I52" s="84" t="b">
        <f>I13</f>
        <v>0</v>
      </c>
      <c r="J52" s="84" t="b">
        <f>J13</f>
        <v>0</v>
      </c>
      <c r="K52" s="310"/>
      <c r="L52" s="309"/>
    </row>
    <row r="53" spans="1:12" ht="30" x14ac:dyDescent="0.25">
      <c r="A53" s="83"/>
      <c r="B53" s="6" t="s">
        <v>182</v>
      </c>
      <c r="C53" s="84" t="s">
        <v>632</v>
      </c>
      <c r="D53" s="84" t="s">
        <v>311</v>
      </c>
      <c r="F53" s="84" t="b">
        <f>F35</f>
        <v>1</v>
      </c>
      <c r="G53" s="84" t="b">
        <f>G35</f>
        <v>1</v>
      </c>
      <c r="H53" s="84" t="b">
        <f>H35</f>
        <v>1</v>
      </c>
      <c r="I53" s="84" t="b">
        <f>I35</f>
        <v>1</v>
      </c>
      <c r="J53" s="84" t="b">
        <f>J35</f>
        <v>1</v>
      </c>
      <c r="K53" s="310"/>
      <c r="L53" s="309"/>
    </row>
    <row r="54" spans="1:12" ht="30" x14ac:dyDescent="0.25">
      <c r="A54" s="83"/>
      <c r="B54" s="6" t="s">
        <v>182</v>
      </c>
      <c r="C54" s="84" t="s">
        <v>645</v>
      </c>
      <c r="D54" s="84" t="s">
        <v>311</v>
      </c>
      <c r="F54" s="84" t="b">
        <v>1</v>
      </c>
      <c r="G54" s="84" t="b">
        <v>1</v>
      </c>
      <c r="H54" s="84" t="b">
        <v>1</v>
      </c>
      <c r="I54" s="84" t="b">
        <v>1</v>
      </c>
      <c r="J54" s="84" t="b">
        <v>1</v>
      </c>
      <c r="K54" s="310"/>
      <c r="L54" s="309"/>
    </row>
    <row r="55" spans="1:12" ht="30" x14ac:dyDescent="0.25">
      <c r="A55" s="83"/>
      <c r="B55" s="6" t="s">
        <v>182</v>
      </c>
      <c r="C55" s="84" t="s">
        <v>266</v>
      </c>
      <c r="D55" s="84" t="s">
        <v>311</v>
      </c>
      <c r="F55" s="84" t="b">
        <v>0</v>
      </c>
      <c r="G55" s="84" t="b">
        <v>0</v>
      </c>
      <c r="H55" s="84" t="b">
        <v>0</v>
      </c>
      <c r="I55" s="84" t="b">
        <v>0</v>
      </c>
      <c r="J55" s="84" t="b">
        <v>0</v>
      </c>
      <c r="K55" s="310"/>
      <c r="L55" s="309"/>
    </row>
    <row r="56" spans="1:12" ht="30" x14ac:dyDescent="0.25">
      <c r="A56" s="83"/>
      <c r="B56" s="6" t="s">
        <v>182</v>
      </c>
      <c r="C56" s="84" t="s">
        <v>267</v>
      </c>
      <c r="D56" s="84" t="s">
        <v>311</v>
      </c>
      <c r="F56" s="84" t="b">
        <v>1</v>
      </c>
      <c r="G56" s="84" t="b">
        <v>0</v>
      </c>
      <c r="H56" s="84" t="b">
        <v>0</v>
      </c>
      <c r="I56" s="84" t="b">
        <v>0</v>
      </c>
      <c r="J56" s="84" t="b">
        <v>0</v>
      </c>
      <c r="K56" s="310"/>
      <c r="L56" s="309"/>
    </row>
  </sheetData>
  <mergeCells count="3">
    <mergeCell ref="B27:P27"/>
    <mergeCell ref="B12:P12"/>
    <mergeCell ref="B22:P2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74F8A-50BA-4366-B4D4-E06DA7F917A1}">
  <sheetPr>
    <tabColor theme="9" tint="-0.499984740745262"/>
  </sheetPr>
  <dimension ref="A1:I20"/>
  <sheetViews>
    <sheetView showGridLines="0" topLeftCell="A4" zoomScaleNormal="100" workbookViewId="0">
      <selection activeCell="A17" sqref="A17:XFD25"/>
    </sheetView>
  </sheetViews>
  <sheetFormatPr defaultRowHeight="15" x14ac:dyDescent="0.25"/>
  <cols>
    <col min="1" max="1" width="4.7109375" customWidth="1"/>
    <col min="2" max="2" width="30.28515625" customWidth="1"/>
    <col min="3" max="3" width="33.42578125" customWidth="1"/>
    <col min="4" max="4" width="21.85546875" customWidth="1"/>
    <col min="5" max="5" width="9.7109375" customWidth="1"/>
    <col min="6" max="6" width="17.7109375" bestFit="1" customWidth="1"/>
    <col min="7" max="7" width="20.7109375" bestFit="1" customWidth="1"/>
    <col min="8" max="8" width="37.28515625" bestFit="1" customWidth="1"/>
    <col min="9" max="9" width="26.7109375" customWidth="1"/>
  </cols>
  <sheetData>
    <row r="1" spans="1:9" ht="17.25" x14ac:dyDescent="0.25">
      <c r="B1" s="2" t="s">
        <v>3</v>
      </c>
      <c r="C1" s="1" t="s">
        <v>85</v>
      </c>
    </row>
    <row r="2" spans="1:9" ht="17.25" x14ac:dyDescent="0.25">
      <c r="B2" s="2" t="s">
        <v>158</v>
      </c>
      <c r="C2" s="1" t="s">
        <v>85</v>
      </c>
    </row>
    <row r="3" spans="1:9" s="47" customFormat="1" ht="17.25" x14ac:dyDescent="0.25">
      <c r="B3" s="48" t="s">
        <v>159</v>
      </c>
      <c r="C3" s="49" t="s">
        <v>299</v>
      </c>
    </row>
    <row r="4" spans="1:9" ht="49.5" customHeight="1" x14ac:dyDescent="0.25">
      <c r="B4" s="2" t="s">
        <v>162</v>
      </c>
      <c r="C4" s="5" t="s">
        <v>86</v>
      </c>
    </row>
    <row r="5" spans="1:9" ht="21" customHeight="1" x14ac:dyDescent="0.25"/>
    <row r="6" spans="1:9" x14ac:dyDescent="0.25">
      <c r="B6" s="6" t="s">
        <v>163</v>
      </c>
      <c r="C6" s="253" t="s">
        <v>164</v>
      </c>
      <c r="D6" s="253" t="s">
        <v>164</v>
      </c>
      <c r="F6" s="256" t="s">
        <v>200</v>
      </c>
      <c r="G6" s="256" t="s">
        <v>200</v>
      </c>
      <c r="H6" s="256" t="s">
        <v>200</v>
      </c>
      <c r="I6" s="256" t="s">
        <v>200</v>
      </c>
    </row>
    <row r="7" spans="1:9" x14ac:dyDescent="0.25">
      <c r="B7" s="6" t="s">
        <v>165</v>
      </c>
      <c r="C7" s="244" t="s">
        <v>167</v>
      </c>
      <c r="D7" s="244" t="s">
        <v>222</v>
      </c>
      <c r="F7" s="244" t="s">
        <v>450</v>
      </c>
      <c r="G7" s="244" t="s">
        <v>451</v>
      </c>
      <c r="H7" s="244" t="s">
        <v>756</v>
      </c>
      <c r="I7" s="244" t="s">
        <v>757</v>
      </c>
    </row>
    <row r="8" spans="1:9" s="47" customFormat="1" ht="30" x14ac:dyDescent="0.25">
      <c r="B8" s="51" t="s">
        <v>169</v>
      </c>
      <c r="C8" s="247"/>
      <c r="D8" s="248"/>
      <c r="F8" s="289"/>
      <c r="G8" s="289"/>
      <c r="H8" s="289"/>
      <c r="I8" s="289" t="s">
        <v>758</v>
      </c>
    </row>
    <row r="9" spans="1:9" s="47" customFormat="1" ht="17.649999999999999" customHeight="1" x14ac:dyDescent="0.25">
      <c r="B9" s="51" t="s">
        <v>171</v>
      </c>
      <c r="C9" s="248" t="s">
        <v>172</v>
      </c>
      <c r="D9" s="248" t="s">
        <v>172</v>
      </c>
      <c r="F9" s="289" t="s">
        <v>236</v>
      </c>
      <c r="G9" s="289" t="s">
        <v>236</v>
      </c>
      <c r="H9" s="289" t="s">
        <v>172</v>
      </c>
      <c r="I9" s="289" t="s">
        <v>172</v>
      </c>
    </row>
    <row r="10" spans="1:9" ht="17.649999999999999" customHeight="1" x14ac:dyDescent="0.25">
      <c r="B10" s="6" t="s">
        <v>237</v>
      </c>
      <c r="C10" s="249" t="s">
        <v>241</v>
      </c>
      <c r="D10" s="249" t="s">
        <v>241</v>
      </c>
      <c r="F10" s="251" t="s">
        <v>175</v>
      </c>
      <c r="G10" s="251" t="s">
        <v>175</v>
      </c>
      <c r="H10" s="249" t="s">
        <v>241</v>
      </c>
      <c r="I10" s="251"/>
    </row>
    <row r="11" spans="1:9" ht="17.649999999999999" customHeight="1" x14ac:dyDescent="0.25">
      <c r="B11" s="6" t="s">
        <v>301</v>
      </c>
      <c r="C11" s="249" t="s">
        <v>167</v>
      </c>
      <c r="D11" s="249" t="s">
        <v>759</v>
      </c>
      <c r="F11" s="251" t="s">
        <v>760</v>
      </c>
      <c r="G11" s="251" t="s">
        <v>760</v>
      </c>
      <c r="H11" s="251" t="s">
        <v>756</v>
      </c>
      <c r="I11" s="251"/>
    </row>
    <row r="12" spans="1:9" x14ac:dyDescent="0.25">
      <c r="A12">
        <v>1</v>
      </c>
      <c r="B12" s="79" t="s">
        <v>182</v>
      </c>
      <c r="C12" s="80" t="s">
        <v>266</v>
      </c>
      <c r="D12" s="80"/>
      <c r="E12" s="72"/>
      <c r="F12" s="85">
        <v>90</v>
      </c>
      <c r="G12" s="80" t="s">
        <v>504</v>
      </c>
      <c r="H12" s="80" t="s">
        <v>761</v>
      </c>
      <c r="I12" s="80" t="b">
        <v>1</v>
      </c>
    </row>
    <row r="13" spans="1:9" ht="30" x14ac:dyDescent="0.25">
      <c r="A13">
        <v>2</v>
      </c>
      <c r="B13" s="81" t="s">
        <v>182</v>
      </c>
      <c r="C13" s="82" t="s">
        <v>261</v>
      </c>
      <c r="D13" s="86"/>
      <c r="E13" s="72"/>
      <c r="F13" s="74">
        <v>90</v>
      </c>
      <c r="G13" s="75" t="s">
        <v>504</v>
      </c>
      <c r="H13" s="76" t="s">
        <v>762</v>
      </c>
      <c r="I13" s="75" t="s">
        <v>504</v>
      </c>
    </row>
    <row r="14" spans="1:9" ht="30" x14ac:dyDescent="0.25">
      <c r="A14">
        <v>3</v>
      </c>
      <c r="B14" s="81" t="s">
        <v>182</v>
      </c>
      <c r="C14" s="82" t="s">
        <v>260</v>
      </c>
      <c r="D14" s="86"/>
      <c r="E14" s="72"/>
      <c r="F14" s="74">
        <v>90</v>
      </c>
      <c r="G14" s="75" t="s">
        <v>504</v>
      </c>
      <c r="H14" s="76" t="s">
        <v>762</v>
      </c>
      <c r="I14" s="75" t="s">
        <v>504</v>
      </c>
    </row>
    <row r="15" spans="1:9" x14ac:dyDescent="0.25">
      <c r="A15">
        <v>4</v>
      </c>
      <c r="B15" s="81" t="s">
        <v>182</v>
      </c>
      <c r="C15" s="82" t="s">
        <v>267</v>
      </c>
      <c r="D15" s="82"/>
      <c r="E15" s="72"/>
      <c r="F15" s="74">
        <v>90</v>
      </c>
      <c r="G15" s="75" t="s">
        <v>504</v>
      </c>
      <c r="H15" s="76" t="s">
        <v>763</v>
      </c>
      <c r="I15" s="75" t="s">
        <v>504</v>
      </c>
    </row>
    <row r="16" spans="1:9" x14ac:dyDescent="0.25">
      <c r="B16" s="370"/>
      <c r="C16" s="371"/>
      <c r="D16" s="371"/>
      <c r="E16" s="72"/>
      <c r="F16" s="372"/>
      <c r="G16" s="373"/>
      <c r="H16" s="374"/>
      <c r="I16" s="373"/>
    </row>
    <row r="17" spans="1:9" x14ac:dyDescent="0.25">
      <c r="B17" s="370"/>
      <c r="C17" s="371"/>
      <c r="D17" s="371"/>
      <c r="E17" s="72"/>
      <c r="F17" s="372"/>
      <c r="G17" s="373"/>
      <c r="H17" s="374"/>
      <c r="I17" s="373"/>
    </row>
    <row r="18" spans="1:9" x14ac:dyDescent="0.25">
      <c r="A18">
        <v>1</v>
      </c>
      <c r="B18" s="6" t="s">
        <v>194</v>
      </c>
      <c r="C18" s="16" t="s">
        <v>266</v>
      </c>
      <c r="D18" s="16"/>
      <c r="F18" s="16" t="s">
        <v>764</v>
      </c>
      <c r="G18" s="16"/>
      <c r="H18" s="16" t="s">
        <v>761</v>
      </c>
      <c r="I18" s="16" t="b">
        <v>1</v>
      </c>
    </row>
    <row r="19" spans="1:9" x14ac:dyDescent="0.25">
      <c r="A19">
        <v>2</v>
      </c>
      <c r="B19" s="6" t="s">
        <v>194</v>
      </c>
      <c r="C19" s="16" t="s">
        <v>260</v>
      </c>
      <c r="D19" s="15"/>
      <c r="F19" s="24" t="s">
        <v>764</v>
      </c>
      <c r="G19" s="11"/>
      <c r="H19" s="11" t="s">
        <v>762</v>
      </c>
      <c r="I19" s="11"/>
    </row>
    <row r="20" spans="1:9" x14ac:dyDescent="0.25">
      <c r="A20">
        <v>3</v>
      </c>
      <c r="B20" s="6" t="s">
        <v>194</v>
      </c>
      <c r="C20" s="16" t="s">
        <v>261</v>
      </c>
      <c r="D20" s="15"/>
      <c r="F20" s="24" t="s">
        <v>764</v>
      </c>
      <c r="G20" s="11"/>
      <c r="H20" s="11" t="s">
        <v>762</v>
      </c>
      <c r="I20" s="11"/>
    </row>
  </sheetData>
  <conditionalFormatting sqref="C8">
    <cfRule type="duplicateValues" dxfId="28" priority="8"/>
  </conditionalFormatting>
  <conditionalFormatting sqref="C7:D7">
    <cfRule type="duplicateValues" dxfId="27" priority="3"/>
  </conditionalFormatting>
  <conditionalFormatting sqref="F7 H7:I7">
    <cfRule type="duplicateValues" dxfId="26" priority="22"/>
  </conditionalFormatting>
  <conditionalFormatting sqref="F8">
    <cfRule type="duplicateValues" dxfId="25" priority="4"/>
  </conditionalFormatting>
  <conditionalFormatting sqref="G7">
    <cfRule type="duplicateValues" dxfId="24" priority="1"/>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AC4CC-F1F8-4C88-A0DE-E3563275E8B8}">
  <sheetPr>
    <tabColor theme="9" tint="-0.499984740745262"/>
  </sheetPr>
  <dimension ref="A1:I14"/>
  <sheetViews>
    <sheetView zoomScaleNormal="100" workbookViewId="0">
      <selection activeCell="F18" sqref="F18"/>
    </sheetView>
  </sheetViews>
  <sheetFormatPr defaultColWidth="8.7109375" defaultRowHeight="15" x14ac:dyDescent="0.25"/>
  <cols>
    <col min="1" max="1" width="6" style="62" bestFit="1" customWidth="1"/>
    <col min="2" max="2" width="19.7109375" style="62" bestFit="1" customWidth="1"/>
    <col min="3" max="3" width="36.28515625" style="62" customWidth="1"/>
    <col min="4" max="4" width="30.28515625" style="62" bestFit="1" customWidth="1"/>
    <col min="5" max="5" width="11.42578125" style="62" customWidth="1"/>
    <col min="6" max="6" width="23" style="62" bestFit="1" customWidth="1"/>
    <col min="7" max="7" width="25.7109375" style="62" bestFit="1" customWidth="1"/>
    <col min="8" max="8" width="20.7109375" style="62" bestFit="1" customWidth="1"/>
    <col min="9" max="9" width="27.28515625" style="62" bestFit="1" customWidth="1"/>
    <col min="10" max="16384" width="8.7109375" style="62"/>
  </cols>
  <sheetData>
    <row r="1" spans="1:9" ht="17.25" x14ac:dyDescent="0.25">
      <c r="B1" s="2" t="s">
        <v>3</v>
      </c>
      <c r="C1" s="3" t="s">
        <v>68</v>
      </c>
    </row>
    <row r="2" spans="1:9" ht="17.25" x14ac:dyDescent="0.25">
      <c r="B2" s="2" t="s">
        <v>158</v>
      </c>
      <c r="C2" s="3" t="s">
        <v>68</v>
      </c>
    </row>
    <row r="3" spans="1:9" s="63" customFormat="1" ht="17.25" x14ac:dyDescent="0.25">
      <c r="B3" s="48" t="s">
        <v>159</v>
      </c>
      <c r="C3" s="52" t="s">
        <v>199</v>
      </c>
    </row>
    <row r="4" spans="1:9" ht="90" x14ac:dyDescent="0.25">
      <c r="B4" s="2" t="s">
        <v>162</v>
      </c>
      <c r="C4" s="5" t="s">
        <v>69</v>
      </c>
      <c r="D4" s="25"/>
    </row>
    <row r="6" spans="1:9" x14ac:dyDescent="0.25">
      <c r="B6" s="6" t="s">
        <v>163</v>
      </c>
      <c r="C6" s="253" t="s">
        <v>164</v>
      </c>
      <c r="D6" s="253" t="s">
        <v>164</v>
      </c>
      <c r="F6" s="298" t="s">
        <v>200</v>
      </c>
      <c r="G6" s="298" t="s">
        <v>200</v>
      </c>
      <c r="H6" s="298" t="s">
        <v>200</v>
      </c>
      <c r="I6" s="298" t="s">
        <v>200</v>
      </c>
    </row>
    <row r="7" spans="1:9" x14ac:dyDescent="0.25">
      <c r="B7" s="65" t="s">
        <v>165</v>
      </c>
      <c r="C7" s="260" t="s">
        <v>221</v>
      </c>
      <c r="D7" s="260" t="s">
        <v>222</v>
      </c>
      <c r="F7" s="244" t="s">
        <v>765</v>
      </c>
      <c r="G7" s="244" t="s">
        <v>766</v>
      </c>
      <c r="H7" s="244" t="s">
        <v>767</v>
      </c>
      <c r="I7" s="244" t="s">
        <v>768</v>
      </c>
    </row>
    <row r="8" spans="1:9" s="63" customFormat="1" x14ac:dyDescent="0.25">
      <c r="B8" s="66" t="s">
        <v>169</v>
      </c>
      <c r="C8" s="319"/>
      <c r="D8" s="319"/>
      <c r="F8" s="247"/>
      <c r="G8" s="247"/>
      <c r="H8" s="247"/>
      <c r="I8" s="247"/>
    </row>
    <row r="9" spans="1:9" s="63" customFormat="1" x14ac:dyDescent="0.25">
      <c r="B9" s="66" t="s">
        <v>171</v>
      </c>
      <c r="C9" s="288"/>
      <c r="D9" s="288"/>
      <c r="F9" s="288" t="s">
        <v>172</v>
      </c>
      <c r="G9" s="288" t="s">
        <v>172</v>
      </c>
      <c r="H9" s="288" t="s">
        <v>172</v>
      </c>
      <c r="I9" s="319" t="s">
        <v>239</v>
      </c>
    </row>
    <row r="10" spans="1:9" x14ac:dyDescent="0.25">
      <c r="B10" s="65" t="s">
        <v>743</v>
      </c>
      <c r="C10" s="294" t="s">
        <v>241</v>
      </c>
      <c r="D10" s="294" t="s">
        <v>241</v>
      </c>
      <c r="F10" s="250"/>
      <c r="G10" s="294" t="s">
        <v>175</v>
      </c>
      <c r="H10" s="294" t="s">
        <v>175</v>
      </c>
      <c r="I10" s="250"/>
    </row>
    <row r="11" spans="1:9" ht="45" x14ac:dyDescent="0.25">
      <c r="B11" s="65" t="s">
        <v>744</v>
      </c>
      <c r="C11" s="288" t="s">
        <v>332</v>
      </c>
      <c r="D11" s="288" t="s">
        <v>331</v>
      </c>
      <c r="F11" s="250" t="s">
        <v>240</v>
      </c>
      <c r="G11" s="299" t="s">
        <v>769</v>
      </c>
      <c r="H11" s="299" t="s">
        <v>769</v>
      </c>
      <c r="I11" s="250" t="s">
        <v>173</v>
      </c>
    </row>
    <row r="12" spans="1:9" ht="30" x14ac:dyDescent="0.25">
      <c r="A12" s="65" t="s">
        <v>178</v>
      </c>
      <c r="B12" s="65" t="s">
        <v>179</v>
      </c>
      <c r="C12" s="320"/>
      <c r="D12" s="320"/>
      <c r="F12" s="320"/>
      <c r="G12" s="320"/>
      <c r="H12" s="320"/>
      <c r="I12" s="320" t="s">
        <v>770</v>
      </c>
    </row>
    <row r="13" spans="1:9" ht="30" x14ac:dyDescent="0.25">
      <c r="A13" s="65"/>
      <c r="B13" s="65" t="s">
        <v>771</v>
      </c>
      <c r="C13" s="320" t="s">
        <v>289</v>
      </c>
      <c r="D13" s="320" t="s">
        <v>288</v>
      </c>
      <c r="F13" s="321">
        <v>3</v>
      </c>
      <c r="G13" s="321" t="s">
        <v>772</v>
      </c>
      <c r="H13" s="321" t="s">
        <v>773</v>
      </c>
      <c r="I13" s="321" t="b">
        <v>1</v>
      </c>
    </row>
    <row r="14" spans="1:9" ht="30" x14ac:dyDescent="0.25">
      <c r="A14" s="65"/>
      <c r="B14" s="65" t="s">
        <v>771</v>
      </c>
      <c r="C14" s="320" t="s">
        <v>289</v>
      </c>
      <c r="D14" s="320" t="s">
        <v>774</v>
      </c>
      <c r="F14" s="321">
        <v>3</v>
      </c>
      <c r="G14" s="321" t="s">
        <v>772</v>
      </c>
      <c r="H14" s="321" t="s">
        <v>773</v>
      </c>
      <c r="I14" s="321" t="b">
        <v>0</v>
      </c>
    </row>
  </sheetData>
  <conditionalFormatting sqref="C7:D7">
    <cfRule type="duplicateValues" dxfId="23" priority="8"/>
  </conditionalFormatting>
  <conditionalFormatting sqref="C8:D8">
    <cfRule type="duplicateValues" dxfId="22" priority="7"/>
  </conditionalFormatting>
  <conditionalFormatting sqref="F8 F10">
    <cfRule type="duplicateValues" dxfId="21" priority="5"/>
  </conditionalFormatting>
  <conditionalFormatting sqref="F11">
    <cfRule type="duplicateValues" dxfId="20" priority="3"/>
  </conditionalFormatting>
  <conditionalFormatting sqref="F7:I7">
    <cfRule type="duplicateValues" dxfId="19" priority="6"/>
  </conditionalFormatting>
  <conditionalFormatting sqref="H8">
    <cfRule type="duplicateValues" dxfId="18" priority="4"/>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1669E-6950-4AF4-B542-B3D71E423B4E}">
  <sheetPr>
    <tabColor theme="9" tint="-0.499984740745262"/>
  </sheetPr>
  <dimension ref="A1:H20"/>
  <sheetViews>
    <sheetView zoomScaleNormal="100" workbookViewId="0">
      <selection activeCell="B8" sqref="B8"/>
    </sheetView>
  </sheetViews>
  <sheetFormatPr defaultColWidth="39" defaultRowHeight="15" x14ac:dyDescent="0.25"/>
  <cols>
    <col min="1" max="1" width="20.7109375" customWidth="1"/>
    <col min="5" max="5" width="27" customWidth="1"/>
    <col min="6" max="6" width="6.7109375" customWidth="1"/>
    <col min="7" max="7" width="19.7109375" bestFit="1" customWidth="1"/>
    <col min="8" max="8" width="27.42578125" customWidth="1"/>
  </cols>
  <sheetData>
    <row r="1" spans="1:8" x14ac:dyDescent="0.25">
      <c r="A1" s="141" t="s">
        <v>775</v>
      </c>
      <c r="B1" s="141" t="s">
        <v>776</v>
      </c>
      <c r="C1" s="91"/>
      <c r="D1" s="91"/>
      <c r="E1" s="91"/>
      <c r="F1" s="91"/>
      <c r="G1" s="91"/>
      <c r="H1" s="91"/>
    </row>
    <row r="2" spans="1:8" x14ac:dyDescent="0.25">
      <c r="A2" s="141" t="s">
        <v>777</v>
      </c>
      <c r="B2" s="141" t="s">
        <v>778</v>
      </c>
      <c r="C2" s="91"/>
      <c r="D2" s="91"/>
      <c r="E2" s="91"/>
      <c r="F2" s="91"/>
      <c r="G2" s="91"/>
      <c r="H2" s="91"/>
    </row>
    <row r="3" spans="1:8" ht="17.25" x14ac:dyDescent="0.25">
      <c r="A3" s="89" t="s">
        <v>3</v>
      </c>
      <c r="B3" s="142" t="s">
        <v>779</v>
      </c>
      <c r="C3" s="91"/>
      <c r="D3" s="91"/>
      <c r="E3" s="91"/>
      <c r="F3" s="91"/>
      <c r="G3" s="91"/>
      <c r="H3" s="91"/>
    </row>
    <row r="4" spans="1:8" ht="17.25" x14ac:dyDescent="0.25">
      <c r="A4" s="89" t="s">
        <v>158</v>
      </c>
      <c r="B4" s="142" t="s">
        <v>71</v>
      </c>
      <c r="C4" s="91" t="s">
        <v>780</v>
      </c>
      <c r="D4" s="91"/>
      <c r="E4" s="91"/>
      <c r="F4" s="91"/>
      <c r="G4" s="91"/>
      <c r="H4" s="91"/>
    </row>
    <row r="5" spans="1:8" ht="17.25" x14ac:dyDescent="0.25">
      <c r="A5" s="89" t="s">
        <v>159</v>
      </c>
      <c r="B5" s="90" t="s">
        <v>199</v>
      </c>
      <c r="C5" s="91"/>
      <c r="D5" s="91"/>
      <c r="E5" s="91"/>
      <c r="F5" s="91"/>
      <c r="G5" s="91"/>
      <c r="H5" s="91"/>
    </row>
    <row r="6" spans="1:8" ht="30" x14ac:dyDescent="0.25">
      <c r="A6" s="89" t="s">
        <v>162</v>
      </c>
      <c r="B6" s="92" t="s">
        <v>72</v>
      </c>
      <c r="C6" s="91"/>
      <c r="D6" s="91"/>
      <c r="E6" s="91"/>
      <c r="F6" s="91"/>
      <c r="G6" s="91"/>
      <c r="H6" s="91"/>
    </row>
    <row r="7" spans="1:8" x14ac:dyDescent="0.25">
      <c r="A7" s="91"/>
      <c r="B7" s="91"/>
      <c r="C7" s="91"/>
      <c r="D7" s="91"/>
      <c r="E7" s="91"/>
      <c r="F7" s="91"/>
      <c r="G7" s="91"/>
      <c r="H7" s="91"/>
    </row>
    <row r="8" spans="1:8" x14ac:dyDescent="0.25">
      <c r="A8" s="91"/>
      <c r="B8" s="6" t="s">
        <v>163</v>
      </c>
      <c r="C8" s="326" t="s">
        <v>164</v>
      </c>
      <c r="D8" s="326" t="s">
        <v>164</v>
      </c>
      <c r="E8" s="277" t="s">
        <v>164</v>
      </c>
      <c r="F8" s="91"/>
      <c r="G8" s="327" t="s">
        <v>200</v>
      </c>
      <c r="H8" s="277" t="s">
        <v>200</v>
      </c>
    </row>
    <row r="9" spans="1:8" x14ac:dyDescent="0.25">
      <c r="A9" s="91"/>
      <c r="B9" s="93" t="s">
        <v>165</v>
      </c>
      <c r="C9" s="322" t="s">
        <v>781</v>
      </c>
      <c r="D9" s="323" t="s">
        <v>222</v>
      </c>
      <c r="E9" s="278" t="s">
        <v>782</v>
      </c>
      <c r="F9" s="91"/>
      <c r="G9" s="323" t="s">
        <v>783</v>
      </c>
      <c r="H9" s="323" t="s">
        <v>784</v>
      </c>
    </row>
    <row r="10" spans="1:8" ht="30" x14ac:dyDescent="0.25">
      <c r="A10" s="91"/>
      <c r="B10" s="93" t="s">
        <v>169</v>
      </c>
      <c r="C10" s="324" t="s">
        <v>785</v>
      </c>
      <c r="D10" s="280"/>
      <c r="E10" s="276" t="s">
        <v>786</v>
      </c>
      <c r="F10" s="91"/>
      <c r="G10" s="279"/>
      <c r="H10" s="279"/>
    </row>
    <row r="11" spans="1:8" x14ac:dyDescent="0.25">
      <c r="A11" s="91"/>
      <c r="B11" s="93" t="s">
        <v>171</v>
      </c>
      <c r="C11" s="280" t="s">
        <v>172</v>
      </c>
      <c r="D11" s="280" t="s">
        <v>172</v>
      </c>
      <c r="E11" s="280" t="s">
        <v>172</v>
      </c>
      <c r="F11" s="91"/>
      <c r="G11" s="276" t="s">
        <v>787</v>
      </c>
      <c r="H11" s="276" t="s">
        <v>172</v>
      </c>
    </row>
    <row r="12" spans="1:8" x14ac:dyDescent="0.25">
      <c r="A12" s="91"/>
      <c r="B12" s="93" t="s">
        <v>237</v>
      </c>
      <c r="C12" s="279" t="s">
        <v>176</v>
      </c>
      <c r="D12" s="280" t="s">
        <v>241</v>
      </c>
      <c r="E12" s="280"/>
      <c r="F12" s="91"/>
      <c r="G12" s="279"/>
      <c r="H12" s="324" t="s">
        <v>175</v>
      </c>
    </row>
    <row r="13" spans="1:8" ht="45" x14ac:dyDescent="0.25">
      <c r="A13" s="93" t="s">
        <v>178</v>
      </c>
      <c r="B13" s="93" t="s">
        <v>301</v>
      </c>
      <c r="C13" s="281" t="s">
        <v>788</v>
      </c>
      <c r="D13" s="325" t="s">
        <v>789</v>
      </c>
      <c r="E13" s="280"/>
      <c r="F13" s="91"/>
      <c r="G13" s="279" t="s">
        <v>240</v>
      </c>
      <c r="H13" s="281" t="s">
        <v>790</v>
      </c>
    </row>
    <row r="14" spans="1:8" x14ac:dyDescent="0.25">
      <c r="A14" s="93">
        <v>1</v>
      </c>
      <c r="B14" s="93" t="s">
        <v>182</v>
      </c>
      <c r="C14" s="143" t="s">
        <v>791</v>
      </c>
      <c r="D14" s="143" t="s">
        <v>308</v>
      </c>
      <c r="E14" s="143" t="s">
        <v>792</v>
      </c>
      <c r="F14" s="91"/>
      <c r="G14" s="97">
        <v>100</v>
      </c>
      <c r="H14" s="97" t="s">
        <v>793</v>
      </c>
    </row>
    <row r="15" spans="1:8" x14ac:dyDescent="0.25">
      <c r="A15" s="91"/>
      <c r="B15" s="91"/>
      <c r="C15" s="91"/>
      <c r="D15" s="91"/>
      <c r="E15" s="91"/>
      <c r="F15" s="91"/>
      <c r="G15" s="91"/>
      <c r="H15" s="91"/>
    </row>
    <row r="16" spans="1:8" x14ac:dyDescent="0.25">
      <c r="A16" s="8" t="s">
        <v>794</v>
      </c>
      <c r="B16" s="91"/>
      <c r="C16" s="91"/>
      <c r="D16" s="91"/>
      <c r="E16" s="91"/>
      <c r="F16" s="91"/>
      <c r="G16" s="91"/>
      <c r="H16" s="91"/>
    </row>
    <row r="17" spans="1:8" x14ac:dyDescent="0.25">
      <c r="A17" s="91" t="s">
        <v>795</v>
      </c>
      <c r="B17" s="91"/>
      <c r="C17" s="91"/>
      <c r="D17" s="91"/>
      <c r="E17" s="91"/>
      <c r="F17" s="91"/>
      <c r="G17" s="91"/>
      <c r="H17" s="91"/>
    </row>
    <row r="18" spans="1:8" x14ac:dyDescent="0.25">
      <c r="A18" s="91" t="s">
        <v>796</v>
      </c>
      <c r="B18" s="91"/>
      <c r="C18" s="91"/>
      <c r="D18" s="91"/>
      <c r="E18" s="91"/>
      <c r="F18" s="91"/>
      <c r="G18" s="91"/>
      <c r="H18" s="91"/>
    </row>
    <row r="19" spans="1:8" ht="30" x14ac:dyDescent="0.25">
      <c r="A19" s="99" t="s">
        <v>797</v>
      </c>
      <c r="B19" s="144" t="s">
        <v>798</v>
      </c>
      <c r="C19" s="91"/>
      <c r="D19" s="91"/>
      <c r="E19" s="91"/>
      <c r="F19" s="91"/>
      <c r="G19" s="91"/>
      <c r="H19" s="91"/>
    </row>
    <row r="20" spans="1:8" ht="120" x14ac:dyDescent="0.25">
      <c r="A20" s="99" t="s">
        <v>799</v>
      </c>
      <c r="B20" s="91"/>
      <c r="C20" s="91"/>
      <c r="D20" s="91"/>
      <c r="E20" s="91"/>
      <c r="F20" s="91"/>
      <c r="G20" s="91"/>
      <c r="H20" s="91"/>
    </row>
  </sheetData>
  <hyperlinks>
    <hyperlink ref="B19" r:id="rId1" display="../../../../../:w:/r/teams/TradeTools/_layouts/15/Doc.aspx?sourcedoc=%7B5BB9D68F-3983-42EA-AF96-60E9827C0D36%7D&amp;file=EDT_Microservices_Interface_Manual.docx&amp;action=default&amp;mobileredirect=true" xr:uid="{201002C4-78D4-41DB-AFCA-A370C74328BA}"/>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CB8DA-3E2D-4AE9-A1E4-B2EEE33210C9}">
  <sheetPr>
    <tabColor theme="9" tint="-0.499984740745262"/>
  </sheetPr>
  <dimension ref="A1:R33"/>
  <sheetViews>
    <sheetView tabSelected="1" topLeftCell="A5" zoomScaleNormal="100" workbookViewId="0">
      <selection activeCell="A28" sqref="A28:A33"/>
    </sheetView>
  </sheetViews>
  <sheetFormatPr defaultRowHeight="15" x14ac:dyDescent="0.25"/>
  <cols>
    <col min="1" max="1" width="19.7109375" bestFit="1" customWidth="1"/>
    <col min="2" max="2" width="32.7109375" customWidth="1"/>
    <col min="3" max="3" width="33.42578125" customWidth="1"/>
    <col min="4" max="4" width="47.7109375" customWidth="1"/>
    <col min="5" max="5" width="10" bestFit="1" customWidth="1"/>
    <col min="6" max="6" width="12.5703125" bestFit="1" customWidth="1"/>
    <col min="7" max="7" width="13.28515625" bestFit="1" customWidth="1"/>
    <col min="8" max="8" width="15" bestFit="1" customWidth="1"/>
    <col min="9" max="9" width="18.28515625" bestFit="1" customWidth="1"/>
    <col min="10" max="10" width="17.42578125" bestFit="1" customWidth="1"/>
    <col min="11" max="11" width="14.5703125" bestFit="1" customWidth="1"/>
    <col min="13" max="13" width="25.42578125" customWidth="1"/>
    <col min="14" max="14" width="17.42578125" bestFit="1" customWidth="1"/>
    <col min="15" max="15" width="20.42578125" bestFit="1" customWidth="1"/>
    <col min="16" max="16" width="20.28515625" bestFit="1" customWidth="1"/>
    <col min="17" max="17" width="43.5703125" customWidth="1"/>
    <col min="18" max="18" width="77.28515625" customWidth="1"/>
  </cols>
  <sheetData>
    <row r="1" spans="1:18" x14ac:dyDescent="0.25">
      <c r="A1" s="157" t="s">
        <v>800</v>
      </c>
      <c r="B1" s="91" t="s">
        <v>801</v>
      </c>
      <c r="C1" s="91"/>
      <c r="D1" s="91"/>
      <c r="E1" s="91"/>
      <c r="F1" s="91"/>
      <c r="G1" s="91"/>
      <c r="H1" s="91"/>
      <c r="I1" s="91"/>
      <c r="J1" s="91"/>
      <c r="K1" s="91"/>
      <c r="L1" s="91"/>
      <c r="M1" s="91"/>
      <c r="N1" s="91"/>
      <c r="O1" s="91"/>
      <c r="P1" s="91"/>
      <c r="Q1" s="91"/>
    </row>
    <row r="2" spans="1:18" x14ac:dyDescent="0.25">
      <c r="A2" s="157" t="s">
        <v>802</v>
      </c>
      <c r="B2" s="158"/>
      <c r="C2" s="91"/>
      <c r="D2" s="91"/>
      <c r="E2" s="91"/>
      <c r="F2" s="91"/>
      <c r="G2" s="91"/>
      <c r="H2" s="91"/>
      <c r="I2" s="91"/>
      <c r="J2" s="91"/>
      <c r="K2" s="91"/>
      <c r="L2" s="91"/>
      <c r="M2" s="91"/>
      <c r="N2" s="91"/>
      <c r="O2" s="91"/>
      <c r="P2" s="91"/>
      <c r="Q2" s="91"/>
    </row>
    <row r="3" spans="1:18" x14ac:dyDescent="0.25">
      <c r="A3" s="157" t="s">
        <v>803</v>
      </c>
      <c r="B3" s="158" t="s">
        <v>804</v>
      </c>
      <c r="C3" s="91"/>
      <c r="D3" s="91"/>
      <c r="E3" s="91"/>
      <c r="F3" s="91"/>
      <c r="G3" s="91"/>
      <c r="H3" s="91"/>
      <c r="I3" s="91"/>
      <c r="J3" s="91"/>
      <c r="K3" s="91"/>
      <c r="L3" s="91"/>
      <c r="M3" s="91"/>
      <c r="N3" s="91"/>
      <c r="O3" s="91"/>
      <c r="P3" s="91"/>
      <c r="Q3" s="91"/>
    </row>
    <row r="4" spans="1:18" x14ac:dyDescent="0.25">
      <c r="A4" s="157" t="s">
        <v>805</v>
      </c>
      <c r="B4" s="159"/>
      <c r="C4" s="91"/>
      <c r="D4" s="91"/>
      <c r="E4" s="91"/>
      <c r="F4" s="91"/>
      <c r="G4" s="91"/>
      <c r="H4" s="91"/>
      <c r="I4" s="91"/>
      <c r="J4" s="91"/>
      <c r="K4" s="91"/>
      <c r="L4" s="91"/>
      <c r="M4" s="91"/>
      <c r="N4" s="91"/>
      <c r="O4" s="91"/>
      <c r="P4" s="91"/>
      <c r="Q4" s="91"/>
    </row>
    <row r="5" spans="1:18" x14ac:dyDescent="0.25">
      <c r="A5" s="157" t="s">
        <v>806</v>
      </c>
      <c r="B5" s="158" t="s">
        <v>776</v>
      </c>
      <c r="C5" s="91"/>
      <c r="D5" s="91"/>
      <c r="E5" s="91"/>
      <c r="F5" s="91"/>
      <c r="G5" s="91"/>
      <c r="H5" s="91"/>
      <c r="I5" s="91"/>
      <c r="J5" s="91"/>
      <c r="K5" s="91"/>
      <c r="L5" s="91"/>
      <c r="M5" s="91"/>
      <c r="N5" s="91"/>
      <c r="O5" s="91"/>
      <c r="P5" s="91"/>
      <c r="Q5" s="91"/>
    </row>
    <row r="6" spans="1:18" x14ac:dyDescent="0.25">
      <c r="A6" s="157" t="s">
        <v>807</v>
      </c>
      <c r="B6" s="165" t="s">
        <v>808</v>
      </c>
      <c r="C6" s="91"/>
      <c r="D6" s="91"/>
      <c r="E6" s="91"/>
      <c r="F6" s="91"/>
      <c r="G6" s="91"/>
      <c r="H6" s="91"/>
      <c r="I6" s="91"/>
      <c r="J6" s="91"/>
      <c r="K6" s="91"/>
      <c r="L6" s="91"/>
      <c r="M6" s="91"/>
      <c r="N6" s="91"/>
      <c r="O6" s="91"/>
      <c r="P6" s="91"/>
      <c r="Q6" s="91"/>
    </row>
    <row r="7" spans="1:18" ht="17.25" x14ac:dyDescent="0.25">
      <c r="A7" s="164" t="s">
        <v>3</v>
      </c>
      <c r="B7" s="428" t="s">
        <v>809</v>
      </c>
      <c r="C7" s="428"/>
      <c r="D7" s="91"/>
      <c r="E7" s="91"/>
      <c r="F7" s="91"/>
      <c r="G7" s="91"/>
      <c r="H7" s="91"/>
      <c r="I7" s="91"/>
      <c r="J7" s="91"/>
      <c r="K7" s="91"/>
      <c r="L7" s="91"/>
      <c r="M7" s="91"/>
      <c r="N7" s="91"/>
      <c r="O7" s="91"/>
      <c r="P7" s="91"/>
      <c r="Q7" s="91"/>
    </row>
    <row r="8" spans="1:18" ht="17.25" x14ac:dyDescent="0.25">
      <c r="A8" s="164" t="s">
        <v>158</v>
      </c>
      <c r="B8" s="429" t="s">
        <v>43</v>
      </c>
      <c r="C8" s="429"/>
      <c r="D8" s="91"/>
      <c r="E8" s="91"/>
      <c r="F8" s="91"/>
      <c r="G8" s="91"/>
      <c r="H8" s="91"/>
      <c r="I8" s="91"/>
      <c r="J8" s="91"/>
      <c r="K8" s="91"/>
      <c r="L8" s="91"/>
      <c r="M8" s="91"/>
      <c r="N8" s="91"/>
      <c r="O8" s="91"/>
      <c r="P8" s="91"/>
      <c r="Q8" s="91"/>
    </row>
    <row r="9" spans="1:18" ht="17.25" x14ac:dyDescent="0.25">
      <c r="A9" s="164" t="s">
        <v>159</v>
      </c>
      <c r="B9" s="429" t="s">
        <v>199</v>
      </c>
      <c r="C9" s="429"/>
      <c r="D9" s="91"/>
      <c r="E9" s="91"/>
      <c r="F9" s="91"/>
      <c r="G9" s="91"/>
      <c r="H9" s="91"/>
      <c r="I9" s="91"/>
      <c r="J9" s="91"/>
      <c r="K9" s="91"/>
      <c r="L9" s="91"/>
      <c r="M9" s="91"/>
      <c r="N9" s="91"/>
      <c r="O9" s="91"/>
      <c r="P9" s="91"/>
      <c r="Q9" s="91"/>
    </row>
    <row r="10" spans="1:18" ht="17.25" x14ac:dyDescent="0.25">
      <c r="A10" s="164" t="s">
        <v>162</v>
      </c>
      <c r="B10" s="430" t="s">
        <v>810</v>
      </c>
      <c r="C10" s="430"/>
      <c r="D10" s="91"/>
      <c r="E10" s="91"/>
      <c r="F10" s="91"/>
      <c r="G10" s="91"/>
      <c r="H10" s="91"/>
      <c r="I10" s="91"/>
      <c r="J10" s="91"/>
      <c r="K10" s="91"/>
      <c r="L10" s="91"/>
      <c r="M10" s="91"/>
      <c r="N10" s="91"/>
      <c r="O10" s="91"/>
      <c r="P10" s="91"/>
      <c r="Q10" s="91"/>
    </row>
    <row r="11" spans="1:18" x14ac:dyDescent="0.25">
      <c r="A11" s="91"/>
      <c r="B11" s="91"/>
      <c r="C11" s="91"/>
      <c r="D11" s="91"/>
      <c r="E11" s="91"/>
      <c r="F11" s="91"/>
      <c r="G11" s="91"/>
      <c r="H11" s="91"/>
      <c r="I11" s="91"/>
      <c r="J11" s="91"/>
      <c r="K11" s="91"/>
      <c r="L11" s="91"/>
      <c r="M11" s="91"/>
      <c r="N11" s="91"/>
      <c r="O11" s="91"/>
      <c r="P11" s="91"/>
      <c r="Q11" s="91"/>
    </row>
    <row r="12" spans="1:18" x14ac:dyDescent="0.25">
      <c r="A12" s="6" t="s">
        <v>163</v>
      </c>
      <c r="B12" s="327" t="s">
        <v>164</v>
      </c>
      <c r="C12" s="327" t="s">
        <v>164</v>
      </c>
      <c r="D12" s="327" t="s">
        <v>164</v>
      </c>
      <c r="E12" s="327" t="s">
        <v>164</v>
      </c>
      <c r="F12" s="327" t="s">
        <v>164</v>
      </c>
      <c r="G12" s="327" t="s">
        <v>164</v>
      </c>
      <c r="H12" s="327" t="s">
        <v>164</v>
      </c>
      <c r="I12" s="327" t="s">
        <v>164</v>
      </c>
      <c r="J12" s="327" t="s">
        <v>164</v>
      </c>
      <c r="K12" s="327" t="s">
        <v>164</v>
      </c>
      <c r="L12" s="277" t="s">
        <v>164</v>
      </c>
      <c r="M12" s="91"/>
      <c r="N12" s="334" t="s">
        <v>200</v>
      </c>
      <c r="O12" s="334" t="s">
        <v>200</v>
      </c>
      <c r="P12" s="334" t="s">
        <v>200</v>
      </c>
      <c r="Q12" s="334" t="s">
        <v>200</v>
      </c>
      <c r="R12" s="334" t="s">
        <v>200</v>
      </c>
    </row>
    <row r="13" spans="1:18" x14ac:dyDescent="0.25">
      <c r="A13" s="160" t="s">
        <v>811</v>
      </c>
      <c r="B13" s="426" t="s">
        <v>1008</v>
      </c>
      <c r="C13" s="426" t="s">
        <v>812</v>
      </c>
      <c r="D13" s="426" t="s">
        <v>813</v>
      </c>
      <c r="E13" s="426" t="s">
        <v>814</v>
      </c>
      <c r="F13" s="426" t="s">
        <v>815</v>
      </c>
      <c r="G13" s="426" t="s">
        <v>816</v>
      </c>
      <c r="H13" s="426" t="s">
        <v>817</v>
      </c>
      <c r="I13" s="426" t="s">
        <v>818</v>
      </c>
      <c r="J13" s="426" t="s">
        <v>819</v>
      </c>
      <c r="K13" s="426" t="s">
        <v>820</v>
      </c>
      <c r="L13" s="435" t="s">
        <v>821</v>
      </c>
      <c r="M13" s="433"/>
      <c r="N13" s="431" t="s">
        <v>822</v>
      </c>
      <c r="O13" s="431" t="s">
        <v>823</v>
      </c>
      <c r="P13" s="431" t="s">
        <v>824</v>
      </c>
      <c r="Q13" s="431" t="s">
        <v>825</v>
      </c>
      <c r="R13" s="431" t="s">
        <v>826</v>
      </c>
    </row>
    <row r="14" spans="1:18" ht="45" x14ac:dyDescent="0.25">
      <c r="A14" s="161" t="s">
        <v>827</v>
      </c>
      <c r="B14" s="427"/>
      <c r="C14" s="427"/>
      <c r="D14" s="427"/>
      <c r="E14" s="427"/>
      <c r="F14" s="427"/>
      <c r="G14" s="427"/>
      <c r="H14" s="427"/>
      <c r="I14" s="427"/>
      <c r="J14" s="427"/>
      <c r="K14" s="427"/>
      <c r="L14" s="427"/>
      <c r="M14" s="433"/>
      <c r="N14" s="432"/>
      <c r="O14" s="432"/>
      <c r="P14" s="432"/>
      <c r="Q14" s="432"/>
      <c r="R14" s="432"/>
    </row>
    <row r="15" spans="1:18" ht="60" x14ac:dyDescent="0.25">
      <c r="A15" s="93" t="s">
        <v>828</v>
      </c>
      <c r="B15" s="281"/>
      <c r="C15" s="281" t="s">
        <v>829</v>
      </c>
      <c r="D15" s="281" t="s">
        <v>830</v>
      </c>
      <c r="E15" s="328" t="s">
        <v>831</v>
      </c>
      <c r="F15" s="328" t="s">
        <v>831</v>
      </c>
      <c r="G15" s="328" t="s">
        <v>831</v>
      </c>
      <c r="H15" s="328" t="s">
        <v>831</v>
      </c>
      <c r="I15" s="329" t="s">
        <v>832</v>
      </c>
      <c r="J15" s="330" t="s">
        <v>833</v>
      </c>
      <c r="K15" s="329" t="s">
        <v>834</v>
      </c>
      <c r="L15" s="329" t="s">
        <v>835</v>
      </c>
      <c r="M15" s="99"/>
      <c r="N15" s="281"/>
      <c r="O15" s="281"/>
      <c r="P15" s="281"/>
      <c r="Q15" s="281"/>
      <c r="R15" s="276"/>
    </row>
    <row r="16" spans="1:18" x14ac:dyDescent="0.25">
      <c r="A16" s="162" t="s">
        <v>171</v>
      </c>
      <c r="B16" s="436" t="s">
        <v>172</v>
      </c>
      <c r="C16" s="436" t="s">
        <v>836</v>
      </c>
      <c r="D16" s="436" t="s">
        <v>836</v>
      </c>
      <c r="E16" s="436" t="s">
        <v>836</v>
      </c>
      <c r="F16" s="436" t="s">
        <v>836</v>
      </c>
      <c r="G16" s="436" t="s">
        <v>836</v>
      </c>
      <c r="H16" s="436" t="s">
        <v>836</v>
      </c>
      <c r="I16" s="436" t="s">
        <v>836</v>
      </c>
      <c r="J16" s="436" t="s">
        <v>836</v>
      </c>
      <c r="K16" s="436" t="s">
        <v>836</v>
      </c>
      <c r="L16" s="436" t="s">
        <v>836</v>
      </c>
      <c r="M16" s="434"/>
      <c r="N16" s="438" t="s">
        <v>836</v>
      </c>
      <c r="O16" s="436" t="s">
        <v>836</v>
      </c>
      <c r="P16" s="436" t="s">
        <v>836</v>
      </c>
      <c r="Q16" s="436" t="s">
        <v>836</v>
      </c>
      <c r="R16" s="436" t="s">
        <v>836</v>
      </c>
    </row>
    <row r="17" spans="1:18" ht="30" x14ac:dyDescent="0.25">
      <c r="A17" s="161" t="s">
        <v>837</v>
      </c>
      <c r="B17" s="437"/>
      <c r="C17" s="437"/>
      <c r="D17" s="437"/>
      <c r="E17" s="437"/>
      <c r="F17" s="437"/>
      <c r="G17" s="437"/>
      <c r="H17" s="437"/>
      <c r="I17" s="437"/>
      <c r="J17" s="437"/>
      <c r="K17" s="437"/>
      <c r="L17" s="437"/>
      <c r="M17" s="434"/>
      <c r="N17" s="439"/>
      <c r="O17" s="437"/>
      <c r="P17" s="437"/>
      <c r="Q17" s="437"/>
      <c r="R17" s="437"/>
    </row>
    <row r="18" spans="1:18" x14ac:dyDescent="0.25">
      <c r="A18" s="162" t="s">
        <v>743</v>
      </c>
      <c r="B18" s="436" t="s">
        <v>838</v>
      </c>
      <c r="C18" s="436" t="s">
        <v>838</v>
      </c>
      <c r="D18" s="436" t="s">
        <v>240</v>
      </c>
      <c r="E18" s="436" t="s">
        <v>240</v>
      </c>
      <c r="F18" s="436" t="s">
        <v>240</v>
      </c>
      <c r="G18" s="436" t="s">
        <v>240</v>
      </c>
      <c r="H18" s="436" t="s">
        <v>240</v>
      </c>
      <c r="I18" s="436" t="s">
        <v>240</v>
      </c>
      <c r="J18" s="436" t="s">
        <v>240</v>
      </c>
      <c r="K18" s="436" t="s">
        <v>240</v>
      </c>
      <c r="L18" s="436" t="s">
        <v>240</v>
      </c>
      <c r="M18" s="434"/>
      <c r="N18" s="438" t="s">
        <v>240</v>
      </c>
      <c r="O18" s="436" t="s">
        <v>240</v>
      </c>
      <c r="P18" s="436" t="s">
        <v>240</v>
      </c>
      <c r="Q18" s="436" t="s">
        <v>240</v>
      </c>
      <c r="R18" s="436" t="s">
        <v>240</v>
      </c>
    </row>
    <row r="19" spans="1:18" ht="60" x14ac:dyDescent="0.25">
      <c r="A19" s="161" t="s">
        <v>839</v>
      </c>
      <c r="B19" s="437"/>
      <c r="C19" s="437"/>
      <c r="D19" s="437"/>
      <c r="E19" s="437"/>
      <c r="F19" s="437"/>
      <c r="G19" s="437"/>
      <c r="H19" s="437"/>
      <c r="I19" s="437"/>
      <c r="J19" s="437"/>
      <c r="K19" s="437"/>
      <c r="L19" s="437"/>
      <c r="M19" s="434"/>
      <c r="N19" s="439"/>
      <c r="O19" s="437"/>
      <c r="P19" s="437"/>
      <c r="Q19" s="437"/>
      <c r="R19" s="437"/>
    </row>
    <row r="20" spans="1:18" x14ac:dyDescent="0.25">
      <c r="A20" s="160" t="s">
        <v>744</v>
      </c>
      <c r="B20" s="484" t="s">
        <v>331</v>
      </c>
      <c r="C20" s="440" t="s">
        <v>840</v>
      </c>
      <c r="D20" s="436" t="s">
        <v>841</v>
      </c>
      <c r="E20" s="436" t="s">
        <v>841</v>
      </c>
      <c r="F20" s="436" t="s">
        <v>841</v>
      </c>
      <c r="G20" s="442" t="s">
        <v>841</v>
      </c>
      <c r="H20" s="436" t="s">
        <v>841</v>
      </c>
      <c r="I20" s="436" t="s">
        <v>841</v>
      </c>
      <c r="J20" s="436" t="s">
        <v>841</v>
      </c>
      <c r="K20" s="436" t="s">
        <v>841</v>
      </c>
      <c r="L20" s="436" t="s">
        <v>841</v>
      </c>
      <c r="M20" s="434"/>
      <c r="N20" s="438" t="s">
        <v>841</v>
      </c>
      <c r="O20" s="436" t="s">
        <v>841</v>
      </c>
      <c r="P20" s="436" t="s">
        <v>841</v>
      </c>
      <c r="Q20" s="436" t="s">
        <v>841</v>
      </c>
      <c r="R20" s="436" t="s">
        <v>841</v>
      </c>
    </row>
    <row r="21" spans="1:18" ht="60" x14ac:dyDescent="0.25">
      <c r="A21" s="163" t="s">
        <v>842</v>
      </c>
      <c r="B21" s="485"/>
      <c r="C21" s="441"/>
      <c r="D21" s="437"/>
      <c r="E21" s="437"/>
      <c r="F21" s="437"/>
      <c r="G21" s="443"/>
      <c r="H21" s="437"/>
      <c r="I21" s="437"/>
      <c r="J21" s="437"/>
      <c r="K21" s="437"/>
      <c r="L21" s="437"/>
      <c r="M21" s="434"/>
      <c r="N21" s="439"/>
      <c r="O21" s="437"/>
      <c r="P21" s="437"/>
      <c r="Q21" s="437"/>
      <c r="R21" s="437"/>
    </row>
    <row r="22" spans="1:18" x14ac:dyDescent="0.25">
      <c r="A22" s="93" t="s">
        <v>179</v>
      </c>
      <c r="B22" s="280"/>
      <c r="C22" s="280"/>
      <c r="D22" s="280"/>
      <c r="E22" s="280"/>
      <c r="F22" s="280"/>
      <c r="G22" s="280"/>
      <c r="H22" s="280"/>
      <c r="I22" s="280"/>
      <c r="J22" s="280"/>
      <c r="K22" s="280"/>
      <c r="L22" s="280"/>
      <c r="M22" s="91"/>
      <c r="N22" s="276"/>
      <c r="O22" s="276"/>
      <c r="P22" s="276"/>
      <c r="Q22" s="276"/>
      <c r="R22" s="276"/>
    </row>
    <row r="23" spans="1:18" ht="57" customHeight="1" x14ac:dyDescent="0.25">
      <c r="A23" s="93" t="s">
        <v>727</v>
      </c>
      <c r="B23" s="332"/>
      <c r="C23" s="332" t="s">
        <v>843</v>
      </c>
      <c r="D23" s="333" t="s">
        <v>844</v>
      </c>
      <c r="E23" s="332"/>
      <c r="F23" s="332"/>
      <c r="G23" s="332"/>
      <c r="H23" s="332"/>
      <c r="I23" s="332"/>
      <c r="J23" s="332"/>
      <c r="K23" s="332"/>
      <c r="L23" s="332"/>
      <c r="M23" s="91"/>
      <c r="N23" s="333" t="s">
        <v>845</v>
      </c>
      <c r="O23" s="333" t="s">
        <v>846</v>
      </c>
      <c r="P23" s="333" t="s">
        <v>847</v>
      </c>
      <c r="Q23" s="333" t="s">
        <v>848</v>
      </c>
      <c r="R23" s="333" t="s">
        <v>849</v>
      </c>
    </row>
    <row r="24" spans="1:18" ht="57" customHeight="1" x14ac:dyDescent="0.25">
      <c r="A24" s="93" t="s">
        <v>727</v>
      </c>
      <c r="B24" s="332"/>
      <c r="C24" s="332" t="s">
        <v>843</v>
      </c>
      <c r="D24" s="333" t="s">
        <v>850</v>
      </c>
      <c r="E24" s="332"/>
      <c r="F24" s="332"/>
      <c r="G24" s="332"/>
      <c r="H24" s="332"/>
      <c r="I24" s="332"/>
      <c r="J24" s="332"/>
      <c r="K24" s="332"/>
      <c r="L24" s="332"/>
      <c r="M24" s="91"/>
      <c r="N24" s="333" t="s">
        <v>845</v>
      </c>
      <c r="O24" s="333">
        <v>0</v>
      </c>
      <c r="P24" s="333">
        <v>0</v>
      </c>
      <c r="Q24" s="333" t="s">
        <v>848</v>
      </c>
      <c r="R24" s="333" t="s">
        <v>849</v>
      </c>
    </row>
    <row r="25" spans="1:18" ht="57" customHeight="1" x14ac:dyDescent="0.25">
      <c r="A25" s="93" t="s">
        <v>727</v>
      </c>
      <c r="B25" s="332"/>
      <c r="C25" s="332" t="s">
        <v>851</v>
      </c>
      <c r="D25" s="333" t="s">
        <v>844</v>
      </c>
      <c r="E25" s="332"/>
      <c r="F25" s="332"/>
      <c r="G25" s="332"/>
      <c r="H25" s="332"/>
      <c r="I25" s="332"/>
      <c r="J25" s="332"/>
      <c r="K25" s="332"/>
      <c r="L25" s="332"/>
      <c r="M25" s="91"/>
      <c r="N25" s="333" t="s">
        <v>852</v>
      </c>
      <c r="O25" s="333" t="s">
        <v>853</v>
      </c>
      <c r="P25" s="333" t="s">
        <v>854</v>
      </c>
      <c r="Q25" s="333" t="s">
        <v>855</v>
      </c>
      <c r="R25" s="333" t="s">
        <v>856</v>
      </c>
    </row>
    <row r="26" spans="1:18" ht="57" customHeight="1" x14ac:dyDescent="0.25">
      <c r="A26" s="93" t="s">
        <v>727</v>
      </c>
      <c r="B26" s="332"/>
      <c r="C26" s="332" t="s">
        <v>851</v>
      </c>
      <c r="D26" s="333" t="s">
        <v>850</v>
      </c>
      <c r="E26" s="332"/>
      <c r="F26" s="332"/>
      <c r="G26" s="332"/>
      <c r="H26" s="332"/>
      <c r="I26" s="332"/>
      <c r="J26" s="332"/>
      <c r="K26" s="332"/>
      <c r="L26" s="332"/>
      <c r="M26" s="91"/>
      <c r="N26" s="333" t="s">
        <v>852</v>
      </c>
      <c r="O26" s="333">
        <v>0</v>
      </c>
      <c r="P26" s="333">
        <v>0</v>
      </c>
      <c r="Q26" s="333" t="s">
        <v>857</v>
      </c>
      <c r="R26" s="333" t="s">
        <v>858</v>
      </c>
    </row>
    <row r="27" spans="1:18" ht="57" customHeight="1" x14ac:dyDescent="0.25">
      <c r="A27" s="93" t="s">
        <v>1009</v>
      </c>
      <c r="B27" s="332"/>
      <c r="C27" s="332"/>
      <c r="D27" s="333"/>
      <c r="E27" s="332"/>
      <c r="F27" s="332"/>
      <c r="G27" s="332"/>
      <c r="H27" s="332"/>
      <c r="I27" s="332"/>
      <c r="J27" s="332"/>
      <c r="K27" s="332"/>
      <c r="L27" s="332"/>
      <c r="M27" s="91"/>
      <c r="N27" s="333"/>
      <c r="O27" s="333"/>
      <c r="P27" s="333"/>
      <c r="Q27" s="333"/>
      <c r="R27" s="333"/>
    </row>
    <row r="28" spans="1:18" ht="57" customHeight="1" x14ac:dyDescent="0.25">
      <c r="A28" s="93" t="s">
        <v>1009</v>
      </c>
      <c r="B28" s="332"/>
      <c r="C28" s="332"/>
      <c r="D28" s="333"/>
      <c r="E28" s="332"/>
      <c r="F28" s="332"/>
      <c r="G28" s="332"/>
      <c r="H28" s="332"/>
      <c r="I28" s="332"/>
      <c r="J28" s="332"/>
      <c r="K28" s="332"/>
      <c r="L28" s="332"/>
      <c r="M28" s="91"/>
      <c r="N28" s="333"/>
      <c r="O28" s="333"/>
      <c r="P28" s="333"/>
      <c r="Q28" s="333"/>
      <c r="R28" s="333"/>
    </row>
    <row r="29" spans="1:18" ht="57" customHeight="1" x14ac:dyDescent="0.25">
      <c r="A29" s="93" t="s">
        <v>1009</v>
      </c>
      <c r="B29" s="332"/>
      <c r="C29" s="332"/>
      <c r="D29" s="333"/>
      <c r="E29" s="332"/>
      <c r="F29" s="332"/>
      <c r="G29" s="332"/>
      <c r="H29" s="332"/>
      <c r="I29" s="332"/>
      <c r="J29" s="332"/>
      <c r="K29" s="332"/>
      <c r="L29" s="332"/>
      <c r="M29" s="91"/>
      <c r="N29" s="333"/>
      <c r="O29" s="333"/>
      <c r="P29" s="333"/>
      <c r="Q29" s="333"/>
      <c r="R29" s="333"/>
    </row>
    <row r="30" spans="1:18" ht="57" customHeight="1" x14ac:dyDescent="0.25">
      <c r="A30" s="93" t="s">
        <v>1009</v>
      </c>
      <c r="B30" s="332"/>
      <c r="C30" s="332"/>
      <c r="D30" s="333"/>
      <c r="E30" s="332"/>
      <c r="F30" s="332"/>
      <c r="G30" s="332"/>
      <c r="H30" s="332"/>
      <c r="I30" s="332"/>
      <c r="J30" s="332"/>
      <c r="K30" s="332"/>
      <c r="L30" s="332"/>
      <c r="M30" s="91"/>
      <c r="N30" s="333"/>
      <c r="O30" s="333"/>
      <c r="P30" s="333"/>
      <c r="Q30" s="333"/>
      <c r="R30" s="333"/>
    </row>
    <row r="31" spans="1:18" ht="57" customHeight="1" x14ac:dyDescent="0.25">
      <c r="A31" s="93" t="s">
        <v>1009</v>
      </c>
      <c r="B31" s="332"/>
      <c r="C31" s="332"/>
      <c r="D31" s="333"/>
      <c r="E31" s="332"/>
      <c r="F31" s="332"/>
      <c r="G31" s="332"/>
      <c r="H31" s="332"/>
      <c r="I31" s="332"/>
      <c r="J31" s="332"/>
      <c r="K31" s="332"/>
      <c r="L31" s="332"/>
      <c r="M31" s="91"/>
      <c r="N31" s="333"/>
      <c r="O31" s="333"/>
      <c r="P31" s="333"/>
      <c r="Q31" s="333"/>
      <c r="R31" s="333"/>
    </row>
    <row r="32" spans="1:18" ht="57" customHeight="1" x14ac:dyDescent="0.25">
      <c r="A32" s="93" t="s">
        <v>1009</v>
      </c>
      <c r="B32" s="332"/>
      <c r="C32" s="332"/>
      <c r="D32" s="333"/>
      <c r="E32" s="332"/>
      <c r="F32" s="332"/>
      <c r="G32" s="332"/>
      <c r="H32" s="332"/>
      <c r="I32" s="332"/>
      <c r="J32" s="332"/>
      <c r="K32" s="332"/>
      <c r="L32" s="332"/>
      <c r="M32" s="91"/>
      <c r="N32" s="333"/>
      <c r="O32" s="333"/>
      <c r="P32" s="333"/>
      <c r="Q32" s="333"/>
      <c r="R32" s="333"/>
    </row>
    <row r="33" spans="1:18" ht="57" customHeight="1" x14ac:dyDescent="0.25">
      <c r="A33" s="93" t="s">
        <v>1009</v>
      </c>
      <c r="B33" s="332"/>
      <c r="C33" s="332"/>
      <c r="D33" s="333"/>
      <c r="E33" s="332"/>
      <c r="F33" s="332"/>
      <c r="G33" s="332"/>
      <c r="H33" s="332"/>
      <c r="I33" s="332"/>
      <c r="J33" s="332"/>
      <c r="K33" s="332"/>
      <c r="L33" s="332"/>
      <c r="M33" s="91"/>
      <c r="N33" s="333"/>
      <c r="O33" s="333"/>
      <c r="P33" s="333"/>
      <c r="Q33" s="333"/>
      <c r="R33" s="333"/>
    </row>
  </sheetData>
  <mergeCells count="72">
    <mergeCell ref="B16:B17"/>
    <mergeCell ref="B18:B19"/>
    <mergeCell ref="B20:B21"/>
    <mergeCell ref="R20:R21"/>
    <mergeCell ref="I20:I21"/>
    <mergeCell ref="J20:J21"/>
    <mergeCell ref="K20:K21"/>
    <mergeCell ref="L20:L21"/>
    <mergeCell ref="M20:M21"/>
    <mergeCell ref="N20:N21"/>
    <mergeCell ref="M18:M19"/>
    <mergeCell ref="N18:N19"/>
    <mergeCell ref="O20:O21"/>
    <mergeCell ref="P20:P21"/>
    <mergeCell ref="Q20:Q21"/>
    <mergeCell ref="H20:H21"/>
    <mergeCell ref="I18:I19"/>
    <mergeCell ref="J18:J19"/>
    <mergeCell ref="K18:K19"/>
    <mergeCell ref="L18:L19"/>
    <mergeCell ref="H18:H19"/>
    <mergeCell ref="C20:C21"/>
    <mergeCell ref="D20:D21"/>
    <mergeCell ref="E20:E21"/>
    <mergeCell ref="F20:F21"/>
    <mergeCell ref="G20:G21"/>
    <mergeCell ref="N16:N17"/>
    <mergeCell ref="O18:O19"/>
    <mergeCell ref="P18:P19"/>
    <mergeCell ref="Q18:Q19"/>
    <mergeCell ref="R18:R19"/>
    <mergeCell ref="O16:O17"/>
    <mergeCell ref="P16:P17"/>
    <mergeCell ref="Q16:Q17"/>
    <mergeCell ref="R16:R17"/>
    <mergeCell ref="H16:H17"/>
    <mergeCell ref="C18:C19"/>
    <mergeCell ref="D18:D19"/>
    <mergeCell ref="E18:E19"/>
    <mergeCell ref="F18:F19"/>
    <mergeCell ref="G18:G19"/>
    <mergeCell ref="C16:C17"/>
    <mergeCell ref="D16:D17"/>
    <mergeCell ref="E16:E17"/>
    <mergeCell ref="F16:F17"/>
    <mergeCell ref="G16:G17"/>
    <mergeCell ref="M16:M17"/>
    <mergeCell ref="I13:I14"/>
    <mergeCell ref="J13:J14"/>
    <mergeCell ref="K13:K14"/>
    <mergeCell ref="L13:L14"/>
    <mergeCell ref="I16:I17"/>
    <mergeCell ref="J16:J17"/>
    <mergeCell ref="K16:K17"/>
    <mergeCell ref="L16:L17"/>
    <mergeCell ref="O13:O14"/>
    <mergeCell ref="P13:P14"/>
    <mergeCell ref="Q13:Q14"/>
    <mergeCell ref="R13:R14"/>
    <mergeCell ref="M13:M14"/>
    <mergeCell ref="N13:N14"/>
    <mergeCell ref="H13:H14"/>
    <mergeCell ref="B7:C7"/>
    <mergeCell ref="B8:C8"/>
    <mergeCell ref="B9:C9"/>
    <mergeCell ref="B10:C10"/>
    <mergeCell ref="C13:C14"/>
    <mergeCell ref="D13:D14"/>
    <mergeCell ref="E13:E14"/>
    <mergeCell ref="F13:F14"/>
    <mergeCell ref="G13:G14"/>
    <mergeCell ref="B13:B14"/>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C39DB-1913-4776-90CE-101DE5C8C553}">
  <sheetPr>
    <tabColor theme="9" tint="-0.499984740745262"/>
  </sheetPr>
  <dimension ref="A1:H34"/>
  <sheetViews>
    <sheetView topLeftCell="A9" zoomScaleNormal="100" workbookViewId="0">
      <selection activeCell="G20" sqref="G20:G21"/>
    </sheetView>
  </sheetViews>
  <sheetFormatPr defaultRowHeight="15" x14ac:dyDescent="0.25"/>
  <cols>
    <col min="1" max="1" width="6.28515625" bestFit="1" customWidth="1"/>
    <col min="2" max="2" width="36.28515625" bestFit="1" customWidth="1"/>
    <col min="3" max="3" width="54.7109375" customWidth="1"/>
    <col min="4" max="4" width="29.42578125" customWidth="1"/>
    <col min="5" max="5" width="13.28515625" customWidth="1"/>
    <col min="6" max="7" width="26.7109375" customWidth="1"/>
    <col min="8" max="8" width="20.7109375" customWidth="1"/>
  </cols>
  <sheetData>
    <row r="1" spans="1:8" x14ac:dyDescent="0.25">
      <c r="A1" s="91"/>
      <c r="B1" s="157" t="s">
        <v>800</v>
      </c>
      <c r="C1" s="158" t="s">
        <v>859</v>
      </c>
      <c r="D1" s="91"/>
      <c r="E1" s="91"/>
      <c r="F1" s="91"/>
      <c r="G1" s="91"/>
      <c r="H1" s="91"/>
    </row>
    <row r="2" spans="1:8" x14ac:dyDescent="0.25">
      <c r="A2" s="91"/>
      <c r="B2" s="157" t="s">
        <v>802</v>
      </c>
      <c r="C2" s="158" t="s">
        <v>860</v>
      </c>
      <c r="D2" s="91"/>
      <c r="E2" s="91"/>
      <c r="F2" s="91"/>
      <c r="G2" s="91"/>
      <c r="H2" s="91"/>
    </row>
    <row r="3" spans="1:8" x14ac:dyDescent="0.25">
      <c r="A3" s="91"/>
      <c r="B3" s="157" t="s">
        <v>803</v>
      </c>
      <c r="C3" s="158" t="s">
        <v>861</v>
      </c>
      <c r="D3" s="91"/>
      <c r="E3" s="91"/>
      <c r="F3" s="91"/>
      <c r="G3" s="91"/>
      <c r="H3" s="91"/>
    </row>
    <row r="4" spans="1:8" x14ac:dyDescent="0.25">
      <c r="A4" s="91"/>
      <c r="B4" s="157" t="s">
        <v>805</v>
      </c>
      <c r="C4" s="171">
        <v>45693</v>
      </c>
      <c r="D4" s="91"/>
      <c r="E4" s="91"/>
      <c r="F4" s="91"/>
      <c r="G4" s="91"/>
      <c r="H4" s="91"/>
    </row>
    <row r="5" spans="1:8" x14ac:dyDescent="0.25">
      <c r="A5" s="91"/>
      <c r="B5" s="157" t="s">
        <v>806</v>
      </c>
      <c r="C5" s="158" t="s">
        <v>776</v>
      </c>
      <c r="D5" s="91"/>
      <c r="E5" s="91"/>
      <c r="F5" s="91"/>
      <c r="G5" s="91"/>
      <c r="H5" s="91"/>
    </row>
    <row r="6" spans="1:8" x14ac:dyDescent="0.25">
      <c r="A6" s="91"/>
      <c r="B6" s="157" t="s">
        <v>807</v>
      </c>
      <c r="C6" s="171">
        <v>45843</v>
      </c>
      <c r="D6" s="91"/>
      <c r="E6" s="91"/>
      <c r="F6" s="91"/>
      <c r="G6" s="91"/>
      <c r="H6" s="91"/>
    </row>
    <row r="7" spans="1:8" ht="17.25" x14ac:dyDescent="0.25">
      <c r="A7" s="91"/>
      <c r="B7" s="89" t="s">
        <v>3</v>
      </c>
      <c r="C7" s="172" t="s">
        <v>101</v>
      </c>
      <c r="D7" s="91"/>
      <c r="E7" s="91"/>
      <c r="F7" s="91"/>
      <c r="G7" s="91"/>
      <c r="H7" s="91"/>
    </row>
    <row r="8" spans="1:8" ht="17.25" x14ac:dyDescent="0.25">
      <c r="A8" s="91"/>
      <c r="B8" s="89" t="s">
        <v>158</v>
      </c>
      <c r="C8" s="142" t="s">
        <v>102</v>
      </c>
      <c r="D8" s="91"/>
      <c r="E8" s="91"/>
      <c r="F8" s="91"/>
      <c r="G8" s="91"/>
      <c r="H8" s="91"/>
    </row>
    <row r="9" spans="1:8" ht="17.25" x14ac:dyDescent="0.25">
      <c r="A9" s="91"/>
      <c r="B9" s="89" t="s">
        <v>159</v>
      </c>
      <c r="C9" s="142" t="s">
        <v>299</v>
      </c>
      <c r="D9" s="91"/>
      <c r="E9" s="91"/>
      <c r="F9" s="91"/>
      <c r="G9" s="91"/>
      <c r="H9" s="91"/>
    </row>
    <row r="10" spans="1:8" ht="60" x14ac:dyDescent="0.25">
      <c r="A10" s="91"/>
      <c r="B10" s="89" t="s">
        <v>162</v>
      </c>
      <c r="C10" s="173" t="s">
        <v>862</v>
      </c>
      <c r="D10" s="91"/>
      <c r="E10" s="91"/>
      <c r="F10" s="91"/>
      <c r="G10" s="91"/>
      <c r="H10" s="91"/>
    </row>
    <row r="11" spans="1:8" x14ac:dyDescent="0.25">
      <c r="A11" s="444"/>
      <c r="B11" s="444"/>
      <c r="C11" s="91"/>
      <c r="D11" s="91"/>
      <c r="E11" s="91"/>
      <c r="F11" s="91"/>
      <c r="G11" s="91"/>
      <c r="H11" s="91"/>
    </row>
    <row r="12" spans="1:8" x14ac:dyDescent="0.25">
      <c r="A12" s="91"/>
      <c r="B12" s="286" t="s">
        <v>163</v>
      </c>
      <c r="C12" s="277" t="s">
        <v>164</v>
      </c>
      <c r="D12" s="277" t="s">
        <v>164</v>
      </c>
      <c r="E12" s="91"/>
      <c r="F12" s="334" t="s">
        <v>200</v>
      </c>
      <c r="G12" s="334" t="s">
        <v>200</v>
      </c>
      <c r="H12" s="91"/>
    </row>
    <row r="13" spans="1:8" x14ac:dyDescent="0.25">
      <c r="A13" s="445"/>
      <c r="B13" s="335" t="s">
        <v>811</v>
      </c>
      <c r="C13" s="446" t="s">
        <v>222</v>
      </c>
      <c r="D13" s="446" t="s">
        <v>167</v>
      </c>
      <c r="E13" s="444"/>
      <c r="F13" s="446" t="s">
        <v>863</v>
      </c>
      <c r="G13" s="446" t="s">
        <v>864</v>
      </c>
      <c r="H13" s="444"/>
    </row>
    <row r="14" spans="1:8" ht="30" x14ac:dyDescent="0.25">
      <c r="A14" s="445"/>
      <c r="B14" s="336" t="s">
        <v>827</v>
      </c>
      <c r="C14" s="446"/>
      <c r="D14" s="446"/>
      <c r="E14" s="444"/>
      <c r="F14" s="446"/>
      <c r="G14" s="446"/>
      <c r="H14" s="444"/>
    </row>
    <row r="15" spans="1:8" x14ac:dyDescent="0.25">
      <c r="A15" s="91"/>
      <c r="B15" s="337" t="s">
        <v>828</v>
      </c>
      <c r="C15" s="279"/>
      <c r="D15" s="280"/>
      <c r="E15" s="91"/>
      <c r="F15" s="279"/>
      <c r="G15" s="280"/>
      <c r="H15" s="91"/>
    </row>
    <row r="16" spans="1:8" x14ac:dyDescent="0.25">
      <c r="A16" s="445"/>
      <c r="B16" s="335" t="s">
        <v>171</v>
      </c>
      <c r="C16" s="447"/>
      <c r="D16" s="447"/>
      <c r="E16" s="444"/>
      <c r="F16" s="448"/>
      <c r="G16" s="447"/>
      <c r="H16" s="444"/>
    </row>
    <row r="17" spans="1:8" x14ac:dyDescent="0.25">
      <c r="A17" s="445"/>
      <c r="B17" s="336" t="s">
        <v>837</v>
      </c>
      <c r="C17" s="447"/>
      <c r="D17" s="447"/>
      <c r="E17" s="444"/>
      <c r="F17" s="448"/>
      <c r="G17" s="447"/>
      <c r="H17" s="444"/>
    </row>
    <row r="18" spans="1:8" x14ac:dyDescent="0.25">
      <c r="A18" s="445"/>
      <c r="B18" s="335" t="s">
        <v>743</v>
      </c>
      <c r="C18" s="450" t="s">
        <v>241</v>
      </c>
      <c r="D18" s="450" t="s">
        <v>241</v>
      </c>
      <c r="E18" s="444"/>
      <c r="F18" s="448" t="s">
        <v>175</v>
      </c>
      <c r="G18" s="450" t="s">
        <v>175</v>
      </c>
      <c r="H18" s="444"/>
    </row>
    <row r="19" spans="1:8" ht="45" x14ac:dyDescent="0.25">
      <c r="A19" s="445"/>
      <c r="B19" s="336" t="s">
        <v>839</v>
      </c>
      <c r="C19" s="450"/>
      <c r="D19" s="450"/>
      <c r="E19" s="444"/>
      <c r="F19" s="448"/>
      <c r="G19" s="450"/>
      <c r="H19" s="444"/>
    </row>
    <row r="20" spans="1:8" x14ac:dyDescent="0.25">
      <c r="A20" s="445"/>
      <c r="B20" s="338" t="s">
        <v>744</v>
      </c>
      <c r="C20" s="450" t="s">
        <v>331</v>
      </c>
      <c r="D20" s="450" t="s">
        <v>495</v>
      </c>
      <c r="E20" s="444"/>
      <c r="F20" s="451" t="s">
        <v>865</v>
      </c>
      <c r="G20" s="450" t="s">
        <v>866</v>
      </c>
      <c r="H20" s="444"/>
    </row>
    <row r="21" spans="1:8" ht="30" x14ac:dyDescent="0.25">
      <c r="A21" s="449"/>
      <c r="B21" s="339" t="s">
        <v>842</v>
      </c>
      <c r="C21" s="450"/>
      <c r="D21" s="450"/>
      <c r="E21" s="444"/>
      <c r="F21" s="451"/>
      <c r="G21" s="450"/>
      <c r="H21" s="444"/>
    </row>
    <row r="22" spans="1:8" x14ac:dyDescent="0.25">
      <c r="A22" s="93" t="s">
        <v>178</v>
      </c>
      <c r="B22" s="337" t="s">
        <v>179</v>
      </c>
      <c r="C22" s="280"/>
      <c r="D22" s="280"/>
      <c r="E22" s="91"/>
      <c r="F22" s="276"/>
      <c r="G22" s="280"/>
      <c r="H22" s="99"/>
    </row>
    <row r="23" spans="1:8" x14ac:dyDescent="0.25">
      <c r="A23" s="93">
        <v>1</v>
      </c>
      <c r="B23" s="93" t="s">
        <v>182</v>
      </c>
      <c r="C23" s="143" t="s">
        <v>289</v>
      </c>
      <c r="D23" s="143" t="s">
        <v>263</v>
      </c>
      <c r="E23" s="91"/>
      <c r="F23" s="174" t="s">
        <v>512</v>
      </c>
      <c r="G23" s="143" t="s">
        <v>867</v>
      </c>
      <c r="H23" s="91"/>
    </row>
    <row r="24" spans="1:8" x14ac:dyDescent="0.25">
      <c r="A24" s="93">
        <v>2</v>
      </c>
      <c r="B24" s="93" t="s">
        <v>182</v>
      </c>
      <c r="C24" s="143" t="s">
        <v>289</v>
      </c>
      <c r="D24" s="143" t="s">
        <v>266</v>
      </c>
      <c r="E24" s="91"/>
      <c r="F24" s="174" t="s">
        <v>512</v>
      </c>
      <c r="G24" s="143" t="s">
        <v>867</v>
      </c>
      <c r="H24" s="91"/>
    </row>
    <row r="25" spans="1:8" x14ac:dyDescent="0.25">
      <c r="A25" s="93">
        <v>3</v>
      </c>
      <c r="B25" s="93" t="s">
        <v>182</v>
      </c>
      <c r="C25" s="143" t="s">
        <v>289</v>
      </c>
      <c r="D25" s="143" t="s">
        <v>266</v>
      </c>
      <c r="E25" s="91"/>
      <c r="F25" s="174" t="s">
        <v>868</v>
      </c>
      <c r="G25" s="143" t="s">
        <v>869</v>
      </c>
      <c r="H25" s="91"/>
    </row>
    <row r="26" spans="1:8" x14ac:dyDescent="0.25">
      <c r="A26" s="93">
        <v>4</v>
      </c>
      <c r="B26" s="93" t="s">
        <v>182</v>
      </c>
      <c r="C26" s="143" t="s">
        <v>289</v>
      </c>
      <c r="D26" s="143" t="s">
        <v>266</v>
      </c>
      <c r="E26" s="91"/>
      <c r="F26" s="174" t="s">
        <v>519</v>
      </c>
      <c r="G26" s="143" t="s">
        <v>867</v>
      </c>
      <c r="H26" s="91"/>
    </row>
    <row r="27" spans="1:8" x14ac:dyDescent="0.25">
      <c r="A27" s="93">
        <v>5</v>
      </c>
      <c r="B27" s="93" t="s">
        <v>182</v>
      </c>
      <c r="C27" s="143" t="s">
        <v>289</v>
      </c>
      <c r="D27" s="143" t="s">
        <v>256</v>
      </c>
      <c r="E27" s="91"/>
      <c r="F27" s="174" t="s">
        <v>870</v>
      </c>
      <c r="G27" s="143" t="s">
        <v>867</v>
      </c>
      <c r="H27" s="91"/>
    </row>
    <row r="28" spans="1:8" x14ac:dyDescent="0.25">
      <c r="A28" s="93">
        <v>6</v>
      </c>
      <c r="B28" s="93" t="s">
        <v>182</v>
      </c>
      <c r="C28" s="143" t="s">
        <v>289</v>
      </c>
      <c r="D28" s="143" t="s">
        <v>257</v>
      </c>
      <c r="E28" s="91"/>
      <c r="F28" s="174" t="s">
        <v>512</v>
      </c>
      <c r="G28" s="143" t="s">
        <v>867</v>
      </c>
      <c r="H28" s="91"/>
    </row>
    <row r="29" spans="1:8" x14ac:dyDescent="0.25">
      <c r="A29" s="93">
        <v>7</v>
      </c>
      <c r="B29" s="93" t="s">
        <v>182</v>
      </c>
      <c r="C29" s="143" t="s">
        <v>308</v>
      </c>
      <c r="D29" s="143" t="s">
        <v>263</v>
      </c>
      <c r="E29" s="91"/>
      <c r="F29" s="174" t="s">
        <v>512</v>
      </c>
      <c r="G29" s="143" t="s">
        <v>867</v>
      </c>
      <c r="H29" s="91"/>
    </row>
    <row r="30" spans="1:8" x14ac:dyDescent="0.25">
      <c r="A30" s="93">
        <v>8</v>
      </c>
      <c r="B30" s="93" t="s">
        <v>182</v>
      </c>
      <c r="C30" s="143" t="s">
        <v>308</v>
      </c>
      <c r="D30" s="143" t="s">
        <v>266</v>
      </c>
      <c r="E30" s="91"/>
      <c r="F30" s="174" t="s">
        <v>512</v>
      </c>
      <c r="G30" s="143" t="s">
        <v>867</v>
      </c>
      <c r="H30" s="91"/>
    </row>
    <row r="31" spans="1:8" x14ac:dyDescent="0.25">
      <c r="A31" s="93">
        <v>9</v>
      </c>
      <c r="B31" s="93" t="s">
        <v>182</v>
      </c>
      <c r="C31" s="143" t="s">
        <v>308</v>
      </c>
      <c r="D31" s="143" t="s">
        <v>266</v>
      </c>
      <c r="E31" s="91"/>
      <c r="F31" s="174" t="s">
        <v>868</v>
      </c>
      <c r="G31" s="143" t="s">
        <v>869</v>
      </c>
      <c r="H31" s="91"/>
    </row>
    <row r="32" spans="1:8" x14ac:dyDescent="0.25">
      <c r="A32" s="93">
        <v>10</v>
      </c>
      <c r="B32" s="93" t="s">
        <v>182</v>
      </c>
      <c r="C32" s="143" t="s">
        <v>308</v>
      </c>
      <c r="D32" s="143" t="s">
        <v>266</v>
      </c>
      <c r="E32" s="91"/>
      <c r="F32" s="174" t="s">
        <v>519</v>
      </c>
      <c r="G32" s="143" t="s">
        <v>867</v>
      </c>
      <c r="H32" s="91"/>
    </row>
    <row r="33" spans="1:8" x14ac:dyDescent="0.25">
      <c r="A33" s="93">
        <v>11</v>
      </c>
      <c r="B33" s="93" t="s">
        <v>182</v>
      </c>
      <c r="C33" s="143" t="s">
        <v>308</v>
      </c>
      <c r="D33" s="143" t="s">
        <v>256</v>
      </c>
      <c r="E33" s="91"/>
      <c r="F33" s="174" t="s">
        <v>870</v>
      </c>
      <c r="G33" s="143" t="s">
        <v>867</v>
      </c>
      <c r="H33" s="91"/>
    </row>
    <row r="34" spans="1:8" x14ac:dyDescent="0.25">
      <c r="A34" s="93">
        <v>12</v>
      </c>
      <c r="B34" s="93" t="s">
        <v>182</v>
      </c>
      <c r="C34" s="143" t="s">
        <v>308</v>
      </c>
      <c r="D34" s="143" t="s">
        <v>257</v>
      </c>
      <c r="E34" s="91"/>
      <c r="F34" s="174" t="s">
        <v>512</v>
      </c>
      <c r="G34" s="143" t="s">
        <v>867</v>
      </c>
      <c r="H34" s="91"/>
    </row>
  </sheetData>
  <mergeCells count="29">
    <mergeCell ref="H18:H19"/>
    <mergeCell ref="A20:A21"/>
    <mergeCell ref="C20:C21"/>
    <mergeCell ref="D20:D21"/>
    <mergeCell ref="E20:E21"/>
    <mergeCell ref="F20:F21"/>
    <mergeCell ref="G20:G21"/>
    <mergeCell ref="H20:H21"/>
    <mergeCell ref="A18:A19"/>
    <mergeCell ref="C18:C19"/>
    <mergeCell ref="D18:D19"/>
    <mergeCell ref="E18:E19"/>
    <mergeCell ref="F18:F19"/>
    <mergeCell ref="G18:G19"/>
    <mergeCell ref="F13:F14"/>
    <mergeCell ref="G13:G14"/>
    <mergeCell ref="H13:H14"/>
    <mergeCell ref="A16:A17"/>
    <mergeCell ref="C16:C17"/>
    <mergeCell ref="D16:D17"/>
    <mergeCell ref="E16:E17"/>
    <mergeCell ref="F16:F17"/>
    <mergeCell ref="G16:G17"/>
    <mergeCell ref="H16:H17"/>
    <mergeCell ref="A11:B11"/>
    <mergeCell ref="A13:A14"/>
    <mergeCell ref="C13:C14"/>
    <mergeCell ref="D13:D14"/>
    <mergeCell ref="E13:E14"/>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6BE25-EC5C-414C-BD27-F3108172C920}">
  <sheetPr>
    <tabColor theme="9" tint="-0.499984740745262"/>
  </sheetPr>
  <dimension ref="A1:H44"/>
  <sheetViews>
    <sheetView zoomScaleNormal="100" workbookViewId="0">
      <selection activeCell="B12" sqref="B12"/>
    </sheetView>
  </sheetViews>
  <sheetFormatPr defaultRowHeight="15" x14ac:dyDescent="0.25"/>
  <cols>
    <col min="2" max="2" width="60.7109375" customWidth="1"/>
    <col min="3" max="3" width="27.28515625" customWidth="1"/>
    <col min="4" max="4" width="24.28515625" customWidth="1"/>
    <col min="5" max="5" width="7" customWidth="1"/>
    <col min="6" max="6" width="24.28515625" customWidth="1"/>
    <col min="7" max="7" width="7.42578125" customWidth="1"/>
    <col min="8" max="8" width="51.28515625" customWidth="1"/>
    <col min="9" max="9" width="24.28515625" customWidth="1"/>
  </cols>
  <sheetData>
    <row r="1" spans="1:8" ht="15.75" x14ac:dyDescent="0.25">
      <c r="A1" s="91"/>
      <c r="B1" s="167" t="s">
        <v>800</v>
      </c>
      <c r="C1" s="341" t="s">
        <v>871</v>
      </c>
      <c r="D1" s="91"/>
      <c r="E1" s="91"/>
      <c r="F1" s="91"/>
      <c r="G1" s="91"/>
      <c r="H1" s="91"/>
    </row>
    <row r="2" spans="1:8" x14ac:dyDescent="0.25">
      <c r="A2" s="91"/>
      <c r="B2" s="157" t="s">
        <v>802</v>
      </c>
      <c r="C2" s="284" t="s">
        <v>872</v>
      </c>
      <c r="D2" s="91"/>
      <c r="E2" s="91"/>
      <c r="F2" s="91"/>
      <c r="G2" s="91"/>
      <c r="H2" s="91"/>
    </row>
    <row r="3" spans="1:8" x14ac:dyDescent="0.25">
      <c r="A3" s="91"/>
      <c r="B3" s="157" t="s">
        <v>803</v>
      </c>
      <c r="C3" s="166" t="s">
        <v>873</v>
      </c>
      <c r="D3" s="91"/>
      <c r="E3" s="91"/>
      <c r="F3" s="91"/>
      <c r="G3" s="91"/>
      <c r="H3" s="91"/>
    </row>
    <row r="4" spans="1:8" x14ac:dyDescent="0.25">
      <c r="A4" s="91"/>
      <c r="B4" s="157" t="s">
        <v>805</v>
      </c>
      <c r="C4" s="165"/>
      <c r="D4" s="91"/>
      <c r="E4" s="91"/>
      <c r="F4" s="91"/>
      <c r="G4" s="91"/>
      <c r="H4" s="91"/>
    </row>
    <row r="5" spans="1:8" x14ac:dyDescent="0.25">
      <c r="A5" s="91"/>
      <c r="B5" s="167" t="s">
        <v>806</v>
      </c>
      <c r="C5" s="90" t="s">
        <v>874</v>
      </c>
      <c r="D5" s="91"/>
      <c r="E5" s="91"/>
      <c r="F5" s="91"/>
      <c r="G5" s="91"/>
      <c r="H5" s="91"/>
    </row>
    <row r="6" spans="1:8" x14ac:dyDescent="0.25">
      <c r="A6" s="91"/>
      <c r="B6" s="157" t="s">
        <v>807</v>
      </c>
      <c r="C6" s="170" t="s">
        <v>875</v>
      </c>
      <c r="D6" s="91"/>
      <c r="E6" s="91"/>
      <c r="F6" s="91"/>
      <c r="G6" s="91"/>
      <c r="H6" s="91"/>
    </row>
    <row r="7" spans="1:8" ht="17.25" x14ac:dyDescent="0.25">
      <c r="A7" s="91"/>
      <c r="B7" s="164" t="s">
        <v>3</v>
      </c>
      <c r="C7" s="452" t="s">
        <v>876</v>
      </c>
      <c r="D7" s="452"/>
      <c r="E7" s="91"/>
      <c r="F7" s="91"/>
      <c r="G7" s="91"/>
      <c r="H7" s="91"/>
    </row>
    <row r="8" spans="1:8" ht="17.25" x14ac:dyDescent="0.25">
      <c r="A8" s="91"/>
      <c r="B8" s="89" t="s">
        <v>158</v>
      </c>
      <c r="C8" s="452" t="s">
        <v>877</v>
      </c>
      <c r="D8" s="452"/>
      <c r="E8" s="91"/>
      <c r="F8" s="91"/>
      <c r="G8" s="91"/>
      <c r="H8" s="91"/>
    </row>
    <row r="9" spans="1:8" ht="17.25" x14ac:dyDescent="0.25">
      <c r="A9" s="91"/>
      <c r="B9" s="89" t="s">
        <v>159</v>
      </c>
      <c r="C9" s="452" t="s">
        <v>199</v>
      </c>
      <c r="D9" s="452"/>
      <c r="E9" s="91"/>
      <c r="F9" s="91"/>
      <c r="G9" s="91"/>
      <c r="H9" s="91"/>
    </row>
    <row r="10" spans="1:8" ht="40.5" customHeight="1" x14ac:dyDescent="0.25">
      <c r="A10" s="91"/>
      <c r="B10" s="89" t="s">
        <v>162</v>
      </c>
      <c r="C10" s="403" t="s">
        <v>15</v>
      </c>
      <c r="D10" s="403"/>
      <c r="E10" s="91"/>
      <c r="F10" s="91"/>
      <c r="G10" s="91"/>
      <c r="H10" s="91"/>
    </row>
    <row r="11" spans="1:8" x14ac:dyDescent="0.25">
      <c r="A11" s="444"/>
      <c r="B11" s="444"/>
      <c r="C11" s="91"/>
      <c r="D11" s="91"/>
      <c r="E11" s="91"/>
      <c r="F11" s="91"/>
      <c r="G11" s="91"/>
      <c r="H11" s="91"/>
    </row>
    <row r="12" spans="1:8" x14ac:dyDescent="0.25">
      <c r="A12" s="91"/>
      <c r="B12" s="6" t="s">
        <v>163</v>
      </c>
      <c r="C12" s="340" t="s">
        <v>164</v>
      </c>
      <c r="D12" s="277" t="s">
        <v>164</v>
      </c>
      <c r="E12" s="91"/>
      <c r="F12" s="334" t="s">
        <v>200</v>
      </c>
      <c r="G12" s="91"/>
      <c r="H12" s="175" t="s">
        <v>878</v>
      </c>
    </row>
    <row r="13" spans="1:8" x14ac:dyDescent="0.25">
      <c r="A13" s="454"/>
      <c r="B13" s="160" t="s">
        <v>811</v>
      </c>
      <c r="C13" s="455" t="s">
        <v>229</v>
      </c>
      <c r="D13" s="457" t="s">
        <v>201</v>
      </c>
      <c r="E13" s="458"/>
      <c r="F13" s="455" t="s">
        <v>879</v>
      </c>
      <c r="G13" s="453"/>
      <c r="H13" s="444"/>
    </row>
    <row r="14" spans="1:8" x14ac:dyDescent="0.25">
      <c r="A14" s="454"/>
      <c r="B14" s="161" t="s">
        <v>827</v>
      </c>
      <c r="C14" s="456"/>
      <c r="D14" s="456"/>
      <c r="E14" s="458"/>
      <c r="F14" s="456"/>
      <c r="G14" s="453"/>
      <c r="H14" s="444"/>
    </row>
    <row r="15" spans="1:8" x14ac:dyDescent="0.25">
      <c r="A15" s="99"/>
      <c r="B15" s="93" t="s">
        <v>828</v>
      </c>
      <c r="C15" s="279"/>
      <c r="D15" s="280"/>
      <c r="E15" s="99"/>
      <c r="F15" s="279"/>
      <c r="G15" s="91"/>
      <c r="H15" s="91"/>
    </row>
    <row r="16" spans="1:8" x14ac:dyDescent="0.25">
      <c r="A16" s="445"/>
      <c r="B16" s="162" t="s">
        <v>171</v>
      </c>
      <c r="C16" s="436" t="s">
        <v>172</v>
      </c>
      <c r="D16" s="436" t="s">
        <v>172</v>
      </c>
      <c r="E16" s="434"/>
      <c r="F16" s="438" t="s">
        <v>172</v>
      </c>
      <c r="G16" s="453"/>
      <c r="H16" s="444"/>
    </row>
    <row r="17" spans="1:8" x14ac:dyDescent="0.25">
      <c r="A17" s="445"/>
      <c r="B17" s="161" t="s">
        <v>837</v>
      </c>
      <c r="C17" s="437"/>
      <c r="D17" s="437"/>
      <c r="E17" s="434"/>
      <c r="F17" s="439"/>
      <c r="G17" s="453"/>
      <c r="H17" s="444"/>
    </row>
    <row r="18" spans="1:8" x14ac:dyDescent="0.25">
      <c r="A18" s="445"/>
      <c r="B18" s="162" t="s">
        <v>743</v>
      </c>
      <c r="C18" s="436" t="s">
        <v>175</v>
      </c>
      <c r="D18" s="436" t="s">
        <v>175</v>
      </c>
      <c r="E18" s="434"/>
      <c r="F18" s="438" t="s">
        <v>177</v>
      </c>
      <c r="G18" s="453"/>
      <c r="H18" s="444"/>
    </row>
    <row r="19" spans="1:8" ht="30" x14ac:dyDescent="0.25">
      <c r="A19" s="445"/>
      <c r="B19" s="161" t="s">
        <v>839</v>
      </c>
      <c r="C19" s="437"/>
      <c r="D19" s="437"/>
      <c r="E19" s="434"/>
      <c r="F19" s="439"/>
      <c r="G19" s="453"/>
      <c r="H19" s="444"/>
    </row>
    <row r="20" spans="1:8" x14ac:dyDescent="0.25">
      <c r="A20" s="445"/>
      <c r="B20" s="160" t="s">
        <v>744</v>
      </c>
      <c r="C20" s="436" t="s">
        <v>838</v>
      </c>
      <c r="D20" s="436" t="s">
        <v>838</v>
      </c>
      <c r="E20" s="434"/>
      <c r="F20" s="438" t="s">
        <v>240</v>
      </c>
      <c r="G20" s="453"/>
      <c r="H20" s="444"/>
    </row>
    <row r="21" spans="1:8" x14ac:dyDescent="0.25">
      <c r="A21" s="449"/>
      <c r="B21" s="163" t="s">
        <v>842</v>
      </c>
      <c r="C21" s="437"/>
      <c r="D21" s="437"/>
      <c r="E21" s="434"/>
      <c r="F21" s="439"/>
      <c r="G21" s="453"/>
      <c r="H21" s="444"/>
    </row>
    <row r="22" spans="1:8" x14ac:dyDescent="0.25">
      <c r="A22" s="93" t="s">
        <v>178</v>
      </c>
      <c r="B22" s="93" t="s">
        <v>179</v>
      </c>
      <c r="C22" s="280"/>
      <c r="D22" s="280"/>
      <c r="E22" s="91"/>
      <c r="F22" s="276"/>
      <c r="G22" s="91"/>
      <c r="H22" s="91"/>
    </row>
    <row r="23" spans="1:8" ht="60" x14ac:dyDescent="0.25">
      <c r="A23" s="93">
        <v>1</v>
      </c>
      <c r="B23" s="176" t="s">
        <v>727</v>
      </c>
      <c r="C23" s="332" t="s">
        <v>213</v>
      </c>
      <c r="D23" s="333" t="s">
        <v>880</v>
      </c>
      <c r="E23" s="91"/>
      <c r="F23" s="332" t="s">
        <v>214</v>
      </c>
      <c r="G23" s="91"/>
      <c r="H23" s="99" t="s">
        <v>881</v>
      </c>
    </row>
    <row r="24" spans="1:8" x14ac:dyDescent="0.25">
      <c r="A24" s="93">
        <v>1</v>
      </c>
      <c r="B24" s="93" t="s">
        <v>727</v>
      </c>
      <c r="C24" s="332" t="s">
        <v>213</v>
      </c>
      <c r="D24" s="332" t="s">
        <v>882</v>
      </c>
      <c r="E24" s="91"/>
      <c r="F24" s="332" t="s">
        <v>883</v>
      </c>
      <c r="G24" s="91"/>
      <c r="H24" s="99"/>
    </row>
    <row r="25" spans="1:8" x14ac:dyDescent="0.25">
      <c r="A25" s="93">
        <v>2</v>
      </c>
      <c r="B25" s="93" t="s">
        <v>727</v>
      </c>
      <c r="C25" s="332" t="s">
        <v>213</v>
      </c>
      <c r="D25" s="332" t="s">
        <v>884</v>
      </c>
      <c r="E25" s="91"/>
      <c r="F25" s="332" t="s">
        <v>885</v>
      </c>
      <c r="G25" s="91"/>
      <c r="H25" s="91"/>
    </row>
    <row r="26" spans="1:8" x14ac:dyDescent="0.25">
      <c r="A26" s="93">
        <v>3</v>
      </c>
      <c r="B26" s="93" t="s">
        <v>727</v>
      </c>
      <c r="C26" s="332" t="s">
        <v>213</v>
      </c>
      <c r="D26" s="332" t="s">
        <v>886</v>
      </c>
      <c r="E26" s="91"/>
      <c r="F26" s="332" t="s">
        <v>887</v>
      </c>
      <c r="G26" s="91"/>
      <c r="H26" s="91"/>
    </row>
    <row r="27" spans="1:8" x14ac:dyDescent="0.25">
      <c r="A27" s="93">
        <v>4</v>
      </c>
      <c r="B27" s="93" t="s">
        <v>727</v>
      </c>
      <c r="C27" s="332" t="s">
        <v>213</v>
      </c>
      <c r="D27" s="332" t="s">
        <v>888</v>
      </c>
      <c r="E27" s="91"/>
      <c r="F27" s="332" t="s">
        <v>889</v>
      </c>
      <c r="G27" s="91"/>
      <c r="H27" s="91"/>
    </row>
    <row r="28" spans="1:8" x14ac:dyDescent="0.25">
      <c r="A28" s="93">
        <v>5</v>
      </c>
      <c r="B28" s="93" t="s">
        <v>727</v>
      </c>
      <c r="C28" s="332" t="s">
        <v>213</v>
      </c>
      <c r="D28" s="332" t="s">
        <v>890</v>
      </c>
      <c r="E28" s="91"/>
      <c r="F28" s="332" t="s">
        <v>889</v>
      </c>
      <c r="G28" s="91"/>
      <c r="H28" s="91"/>
    </row>
    <row r="29" spans="1:8" x14ac:dyDescent="0.25">
      <c r="A29" s="93">
        <v>6</v>
      </c>
      <c r="B29" s="93" t="s">
        <v>727</v>
      </c>
      <c r="C29" s="332" t="s">
        <v>213</v>
      </c>
      <c r="D29" s="332" t="s">
        <v>891</v>
      </c>
      <c r="E29" s="91"/>
      <c r="F29" s="332" t="s">
        <v>892</v>
      </c>
      <c r="G29" s="91"/>
      <c r="H29" s="91"/>
    </row>
    <row r="30" spans="1:8" x14ac:dyDescent="0.25">
      <c r="A30" s="93">
        <v>7</v>
      </c>
      <c r="B30" s="93" t="s">
        <v>727</v>
      </c>
      <c r="C30" s="332" t="s">
        <v>213</v>
      </c>
      <c r="D30" s="332" t="s">
        <v>893</v>
      </c>
      <c r="E30" s="91"/>
      <c r="F30" s="332" t="s">
        <v>889</v>
      </c>
      <c r="G30" s="91"/>
      <c r="H30" s="91"/>
    </row>
    <row r="31" spans="1:8" x14ac:dyDescent="0.25">
      <c r="A31" s="93">
        <v>8</v>
      </c>
      <c r="B31" s="93" t="s">
        <v>727</v>
      </c>
      <c r="C31" s="332" t="s">
        <v>213</v>
      </c>
      <c r="D31" s="332" t="s">
        <v>894</v>
      </c>
      <c r="E31" s="91"/>
      <c r="F31" s="332" t="s">
        <v>892</v>
      </c>
      <c r="G31" s="91"/>
      <c r="H31" s="91"/>
    </row>
    <row r="32" spans="1:8" x14ac:dyDescent="0.25">
      <c r="A32" s="93">
        <v>9</v>
      </c>
      <c r="B32" s="93" t="s">
        <v>727</v>
      </c>
      <c r="C32" s="332" t="s">
        <v>213</v>
      </c>
      <c r="D32" s="332" t="s">
        <v>895</v>
      </c>
      <c r="E32" s="91"/>
      <c r="F32" s="332" t="s">
        <v>896</v>
      </c>
      <c r="G32" s="91"/>
      <c r="H32" s="91" t="s">
        <v>897</v>
      </c>
    </row>
    <row r="33" spans="1:8" x14ac:dyDescent="0.25">
      <c r="A33" s="93">
        <v>10</v>
      </c>
      <c r="B33" s="93" t="s">
        <v>727</v>
      </c>
      <c r="C33" s="332" t="s">
        <v>213</v>
      </c>
      <c r="D33" s="332" t="s">
        <v>898</v>
      </c>
      <c r="E33" s="91"/>
      <c r="F33" s="332" t="s">
        <v>883</v>
      </c>
      <c r="G33" s="91"/>
      <c r="H33" s="91"/>
    </row>
    <row r="34" spans="1:8" x14ac:dyDescent="0.25">
      <c r="A34" s="93">
        <v>11</v>
      </c>
      <c r="B34" s="93" t="s">
        <v>727</v>
      </c>
      <c r="C34" s="332" t="s">
        <v>213</v>
      </c>
      <c r="D34" s="332" t="s">
        <v>899</v>
      </c>
      <c r="E34" s="91"/>
      <c r="F34" s="332" t="s">
        <v>900</v>
      </c>
      <c r="G34" s="91"/>
      <c r="H34" s="91"/>
    </row>
    <row r="35" spans="1:8" x14ac:dyDescent="0.25">
      <c r="A35" s="93">
        <v>12</v>
      </c>
      <c r="B35" s="93" t="s">
        <v>727</v>
      </c>
      <c r="C35" s="332" t="s">
        <v>213</v>
      </c>
      <c r="D35" s="332" t="s">
        <v>901</v>
      </c>
      <c r="E35" s="91"/>
      <c r="F35" s="332" t="s">
        <v>896</v>
      </c>
      <c r="G35" s="91"/>
      <c r="H35" s="91" t="s">
        <v>897</v>
      </c>
    </row>
    <row r="36" spans="1:8" x14ac:dyDescent="0.25">
      <c r="A36" s="93">
        <v>13</v>
      </c>
      <c r="B36" s="93" t="s">
        <v>727</v>
      </c>
      <c r="C36" s="332" t="s">
        <v>213</v>
      </c>
      <c r="D36" s="332" t="s">
        <v>902</v>
      </c>
      <c r="E36" s="91"/>
      <c r="F36" s="332" t="s">
        <v>883</v>
      </c>
      <c r="G36" s="91"/>
      <c r="H36" s="91"/>
    </row>
    <row r="37" spans="1:8" x14ac:dyDescent="0.25">
      <c r="A37" s="93">
        <v>14</v>
      </c>
      <c r="B37" s="93" t="s">
        <v>727</v>
      </c>
      <c r="C37" s="332" t="s">
        <v>213</v>
      </c>
      <c r="D37" s="332" t="s">
        <v>890</v>
      </c>
      <c r="E37" s="91"/>
      <c r="F37" s="332" t="s">
        <v>889</v>
      </c>
      <c r="G37" s="91"/>
      <c r="H37" s="91"/>
    </row>
    <row r="38" spans="1:8" x14ac:dyDescent="0.25">
      <c r="A38" s="93">
        <v>15</v>
      </c>
      <c r="B38" s="93" t="s">
        <v>727</v>
      </c>
      <c r="C38" s="332" t="s">
        <v>213</v>
      </c>
      <c r="D38" s="332" t="s">
        <v>903</v>
      </c>
      <c r="E38" s="91"/>
      <c r="F38" s="332" t="s">
        <v>904</v>
      </c>
      <c r="G38" s="91"/>
      <c r="H38" s="91"/>
    </row>
    <row r="39" spans="1:8" x14ac:dyDescent="0.25">
      <c r="A39" s="93">
        <v>16</v>
      </c>
      <c r="B39" s="93" t="s">
        <v>727</v>
      </c>
      <c r="C39" s="332" t="s">
        <v>213</v>
      </c>
      <c r="D39" s="332" t="s">
        <v>905</v>
      </c>
      <c r="E39" s="91"/>
      <c r="F39" s="332" t="s">
        <v>906</v>
      </c>
      <c r="G39" s="91"/>
      <c r="H39" s="91"/>
    </row>
    <row r="40" spans="1:8" x14ac:dyDescent="0.25">
      <c r="A40" s="93">
        <v>17</v>
      </c>
      <c r="B40" s="93" t="s">
        <v>727</v>
      </c>
      <c r="C40" s="332" t="s">
        <v>213</v>
      </c>
      <c r="D40" s="332" t="s">
        <v>907</v>
      </c>
      <c r="E40" s="91"/>
      <c r="F40" s="332" t="s">
        <v>908</v>
      </c>
      <c r="G40" s="91"/>
      <c r="H40" s="91"/>
    </row>
    <row r="41" spans="1:8" x14ac:dyDescent="0.25">
      <c r="A41" s="93">
        <v>18</v>
      </c>
      <c r="B41" s="93" t="s">
        <v>727</v>
      </c>
      <c r="C41" s="332" t="s">
        <v>213</v>
      </c>
      <c r="D41" s="332" t="s">
        <v>909</v>
      </c>
      <c r="E41" s="91"/>
      <c r="F41" s="332" t="s">
        <v>906</v>
      </c>
      <c r="G41" s="91"/>
      <c r="H41" s="91"/>
    </row>
    <row r="42" spans="1:8" x14ac:dyDescent="0.25">
      <c r="A42" s="93">
        <v>19</v>
      </c>
      <c r="B42" s="93" t="s">
        <v>727</v>
      </c>
      <c r="C42" s="332" t="s">
        <v>213</v>
      </c>
      <c r="D42" s="332" t="s">
        <v>910</v>
      </c>
      <c r="E42" s="91"/>
      <c r="F42" s="332" t="s">
        <v>883</v>
      </c>
      <c r="G42" s="91"/>
      <c r="H42" s="91"/>
    </row>
    <row r="43" spans="1:8" x14ac:dyDescent="0.25">
      <c r="A43" s="93">
        <v>20</v>
      </c>
      <c r="B43" s="93" t="s">
        <v>727</v>
      </c>
      <c r="C43" s="332" t="s">
        <v>213</v>
      </c>
      <c r="D43" s="332" t="s">
        <v>911</v>
      </c>
      <c r="E43" s="91"/>
      <c r="F43" s="332" t="s">
        <v>912</v>
      </c>
      <c r="G43" s="91"/>
      <c r="H43" s="91"/>
    </row>
    <row r="44" spans="1:8" x14ac:dyDescent="0.25">
      <c r="A44" s="93">
        <v>21</v>
      </c>
      <c r="B44" s="93" t="s">
        <v>727</v>
      </c>
      <c r="C44" s="332" t="s">
        <v>213</v>
      </c>
      <c r="D44" s="332" t="s">
        <v>913</v>
      </c>
      <c r="E44" s="91"/>
      <c r="F44" s="332" t="s">
        <v>896</v>
      </c>
      <c r="G44" s="91"/>
      <c r="H44" s="91" t="s">
        <v>897</v>
      </c>
    </row>
  </sheetData>
  <mergeCells count="33">
    <mergeCell ref="H18:H19"/>
    <mergeCell ref="A20:A21"/>
    <mergeCell ref="C20:C21"/>
    <mergeCell ref="D20:D21"/>
    <mergeCell ref="E20:E21"/>
    <mergeCell ref="F20:F21"/>
    <mergeCell ref="G20:G21"/>
    <mergeCell ref="H20:H21"/>
    <mergeCell ref="A18:A19"/>
    <mergeCell ref="C18:C19"/>
    <mergeCell ref="D18:D19"/>
    <mergeCell ref="E18:E19"/>
    <mergeCell ref="F18:F19"/>
    <mergeCell ref="G18:G19"/>
    <mergeCell ref="H13:H14"/>
    <mergeCell ref="A16:A17"/>
    <mergeCell ref="C16:C17"/>
    <mergeCell ref="D16:D17"/>
    <mergeCell ref="E16:E17"/>
    <mergeCell ref="F16:F17"/>
    <mergeCell ref="G16:G17"/>
    <mergeCell ref="H16:H17"/>
    <mergeCell ref="A13:A14"/>
    <mergeCell ref="C13:C14"/>
    <mergeCell ref="D13:D14"/>
    <mergeCell ref="E13:E14"/>
    <mergeCell ref="F13:F14"/>
    <mergeCell ref="G13:G14"/>
    <mergeCell ref="C7:D7"/>
    <mergeCell ref="C8:D8"/>
    <mergeCell ref="C9:D9"/>
    <mergeCell ref="C10:D10"/>
    <mergeCell ref="A11:B1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87AAC-4625-41A0-A140-E4DBA820FD9E}">
  <sheetPr>
    <tabColor theme="9" tint="-0.499984740745262"/>
  </sheetPr>
  <dimension ref="A1:F15"/>
  <sheetViews>
    <sheetView showGridLines="0" zoomScaleNormal="100" workbookViewId="0">
      <selection activeCell="B5" sqref="B5"/>
    </sheetView>
  </sheetViews>
  <sheetFormatPr defaultRowHeight="15" x14ac:dyDescent="0.25"/>
  <cols>
    <col min="1" max="1" width="24.7109375" customWidth="1"/>
    <col min="2" max="2" width="26.42578125" customWidth="1"/>
    <col min="3" max="3" width="29.7109375" customWidth="1"/>
    <col min="4" max="4" width="7.28515625" customWidth="1"/>
    <col min="5" max="5" width="22.28515625" bestFit="1" customWidth="1"/>
    <col min="6" max="6" width="25.28515625" customWidth="1"/>
    <col min="7" max="7" width="23.7109375" bestFit="1" customWidth="1"/>
    <col min="8" max="8" width="11.28515625" bestFit="1" customWidth="1"/>
  </cols>
  <sheetData>
    <row r="1" spans="1:6" ht="15.75" x14ac:dyDescent="0.25">
      <c r="A1" s="177" t="s">
        <v>914</v>
      </c>
      <c r="B1" s="178" t="s">
        <v>776</v>
      </c>
    </row>
    <row r="2" spans="1:6" ht="30" x14ac:dyDescent="0.25">
      <c r="A2" s="2" t="s">
        <v>3</v>
      </c>
      <c r="B2" s="7" t="s">
        <v>50</v>
      </c>
    </row>
    <row r="3" spans="1:6" ht="30" x14ac:dyDescent="0.25">
      <c r="A3" s="2" t="s">
        <v>158</v>
      </c>
      <c r="B3" s="7" t="s">
        <v>95</v>
      </c>
    </row>
    <row r="4" spans="1:6" ht="17.25" x14ac:dyDescent="0.25">
      <c r="A4" s="2" t="s">
        <v>159</v>
      </c>
      <c r="B4" s="1" t="s">
        <v>199</v>
      </c>
    </row>
    <row r="5" spans="1:6" ht="90" x14ac:dyDescent="0.25">
      <c r="A5" s="2" t="s">
        <v>162</v>
      </c>
      <c r="B5" s="5" t="s">
        <v>96</v>
      </c>
    </row>
    <row r="6" spans="1:6" ht="21" customHeight="1" x14ac:dyDescent="0.25"/>
    <row r="7" spans="1:6" x14ac:dyDescent="0.25">
      <c r="B7" s="6" t="s">
        <v>163</v>
      </c>
      <c r="C7" s="258" t="s">
        <v>164</v>
      </c>
      <c r="D7" s="44"/>
      <c r="E7" s="258" t="s">
        <v>200</v>
      </c>
      <c r="F7" s="258" t="s">
        <v>200</v>
      </c>
    </row>
    <row r="8" spans="1:6" x14ac:dyDescent="0.25">
      <c r="B8" s="6" t="s">
        <v>165</v>
      </c>
      <c r="C8" s="258" t="s">
        <v>222</v>
      </c>
      <c r="D8" s="44"/>
      <c r="E8" s="349" t="s">
        <v>915</v>
      </c>
      <c r="F8" s="349" t="s">
        <v>916</v>
      </c>
    </row>
    <row r="9" spans="1:6" x14ac:dyDescent="0.25">
      <c r="B9" s="6" t="s">
        <v>169</v>
      </c>
      <c r="C9" s="249"/>
      <c r="E9" s="250"/>
      <c r="F9" s="250"/>
    </row>
    <row r="10" spans="1:6" x14ac:dyDescent="0.25">
      <c r="B10" s="6" t="s">
        <v>171</v>
      </c>
      <c r="C10" s="249" t="s">
        <v>172</v>
      </c>
      <c r="E10" s="251" t="s">
        <v>423</v>
      </c>
      <c r="F10" s="251" t="s">
        <v>358</v>
      </c>
    </row>
    <row r="11" spans="1:6" x14ac:dyDescent="0.25">
      <c r="B11" s="6" t="s">
        <v>237</v>
      </c>
      <c r="C11" s="249" t="s">
        <v>917</v>
      </c>
      <c r="E11" s="250" t="s">
        <v>403</v>
      </c>
      <c r="F11" s="250" t="s">
        <v>403</v>
      </c>
    </row>
    <row r="12" spans="1:6" ht="60" x14ac:dyDescent="0.25">
      <c r="A12" s="6" t="s">
        <v>178</v>
      </c>
      <c r="B12" s="6" t="s">
        <v>301</v>
      </c>
      <c r="C12" s="288" t="s">
        <v>918</v>
      </c>
      <c r="E12" s="288" t="s">
        <v>919</v>
      </c>
      <c r="F12" s="288" t="s">
        <v>920</v>
      </c>
    </row>
    <row r="13" spans="1:6" x14ac:dyDescent="0.25">
      <c r="A13" s="6">
        <v>1</v>
      </c>
      <c r="B13" s="6" t="s">
        <v>182</v>
      </c>
      <c r="C13" s="46" t="s">
        <v>700</v>
      </c>
      <c r="E13" s="11">
        <v>5</v>
      </c>
      <c r="F13" s="11">
        <v>2</v>
      </c>
    </row>
    <row r="14" spans="1:6" x14ac:dyDescent="0.25">
      <c r="A14" s="6">
        <v>2</v>
      </c>
      <c r="B14" s="6" t="s">
        <v>182</v>
      </c>
      <c r="C14" s="15"/>
      <c r="E14" s="11"/>
      <c r="F14" s="11"/>
    </row>
    <row r="15" spans="1:6" x14ac:dyDescent="0.25">
      <c r="A15" s="6">
        <v>3</v>
      </c>
      <c r="B15" s="6" t="s">
        <v>182</v>
      </c>
      <c r="C15" s="15"/>
      <c r="E15" s="11"/>
      <c r="F15" s="11"/>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F9AFF-9DB3-49D7-8A01-A987977505C0}">
  <sheetPr>
    <tabColor theme="9" tint="-0.499984740745262"/>
  </sheetPr>
  <dimension ref="A1:F15"/>
  <sheetViews>
    <sheetView showGridLines="0" topLeftCell="A2" zoomScaleNormal="100" workbookViewId="0">
      <selection activeCell="B5" sqref="B5"/>
    </sheetView>
  </sheetViews>
  <sheetFormatPr defaultRowHeight="15" x14ac:dyDescent="0.25"/>
  <cols>
    <col min="1" max="1" width="24.7109375" customWidth="1"/>
    <col min="2" max="2" width="26.42578125" customWidth="1"/>
    <col min="3" max="4" width="29.7109375" customWidth="1"/>
    <col min="5" max="5" width="7.28515625" customWidth="1"/>
    <col min="6" max="6" width="22.28515625" bestFit="1" customWidth="1"/>
    <col min="7" max="7" width="8.42578125" customWidth="1"/>
    <col min="8" max="8" width="23.7109375" bestFit="1" customWidth="1"/>
    <col min="9" max="9" width="11.28515625" bestFit="1" customWidth="1"/>
  </cols>
  <sheetData>
    <row r="1" spans="1:6" ht="15.75" x14ac:dyDescent="0.25">
      <c r="A1" s="177" t="s">
        <v>914</v>
      </c>
      <c r="B1" s="178" t="s">
        <v>776</v>
      </c>
    </row>
    <row r="2" spans="1:6" ht="30" x14ac:dyDescent="0.25">
      <c r="A2" s="2" t="s">
        <v>3</v>
      </c>
      <c r="B2" s="7" t="s">
        <v>97</v>
      </c>
    </row>
    <row r="3" spans="1:6" ht="30" x14ac:dyDescent="0.25">
      <c r="A3" s="2" t="s">
        <v>158</v>
      </c>
      <c r="B3" s="7" t="s">
        <v>97</v>
      </c>
    </row>
    <row r="4" spans="1:6" ht="17.25" x14ac:dyDescent="0.25">
      <c r="A4" s="2" t="s">
        <v>159</v>
      </c>
      <c r="B4" s="1" t="s">
        <v>199</v>
      </c>
    </row>
    <row r="5" spans="1:6" ht="105" x14ac:dyDescent="0.25">
      <c r="A5" s="2" t="s">
        <v>162</v>
      </c>
      <c r="B5" s="5" t="s">
        <v>98</v>
      </c>
    </row>
    <row r="6" spans="1:6" ht="21" customHeight="1" x14ac:dyDescent="0.25"/>
    <row r="7" spans="1:6" x14ac:dyDescent="0.25">
      <c r="B7" s="6" t="s">
        <v>163</v>
      </c>
      <c r="C7" s="303" t="s">
        <v>164</v>
      </c>
      <c r="D7" s="258" t="s">
        <v>164</v>
      </c>
      <c r="E7" s="44"/>
      <c r="F7" s="258" t="s">
        <v>200</v>
      </c>
    </row>
    <row r="8" spans="1:6" x14ac:dyDescent="0.25">
      <c r="B8" s="6" t="s">
        <v>165</v>
      </c>
      <c r="C8" s="258" t="s">
        <v>222</v>
      </c>
      <c r="D8" s="258" t="s">
        <v>167</v>
      </c>
      <c r="E8" s="44"/>
      <c r="F8" s="349" t="s">
        <v>921</v>
      </c>
    </row>
    <row r="9" spans="1:6" x14ac:dyDescent="0.25">
      <c r="B9" s="6" t="s">
        <v>169</v>
      </c>
      <c r="C9" s="249"/>
      <c r="D9" s="249"/>
      <c r="F9" s="250"/>
    </row>
    <row r="10" spans="1:6" x14ac:dyDescent="0.25">
      <c r="B10" s="6" t="s">
        <v>171</v>
      </c>
      <c r="C10" s="249" t="s">
        <v>172</v>
      </c>
      <c r="D10" s="249" t="s">
        <v>172</v>
      </c>
      <c r="F10" s="251"/>
    </row>
    <row r="11" spans="1:6" x14ac:dyDescent="0.25">
      <c r="B11" s="6" t="s">
        <v>237</v>
      </c>
      <c r="C11" s="249" t="s">
        <v>917</v>
      </c>
      <c r="D11" s="249" t="s">
        <v>176</v>
      </c>
      <c r="F11" s="250"/>
    </row>
    <row r="12" spans="1:6" ht="60" x14ac:dyDescent="0.25">
      <c r="A12" s="6" t="s">
        <v>178</v>
      </c>
      <c r="B12" s="6" t="s">
        <v>301</v>
      </c>
      <c r="C12" s="288" t="s">
        <v>918</v>
      </c>
      <c r="D12" s="288" t="s">
        <v>922</v>
      </c>
      <c r="F12" s="288" t="s">
        <v>923</v>
      </c>
    </row>
    <row r="13" spans="1:6" x14ac:dyDescent="0.25">
      <c r="A13" s="6">
        <v>1</v>
      </c>
      <c r="B13" s="6" t="s">
        <v>182</v>
      </c>
      <c r="C13" s="15" t="s">
        <v>924</v>
      </c>
      <c r="D13" s="15"/>
      <c r="F13" s="11" t="b">
        <v>1</v>
      </c>
    </row>
    <row r="14" spans="1:6" x14ac:dyDescent="0.25">
      <c r="A14" s="6">
        <v>2</v>
      </c>
      <c r="B14" s="6" t="s">
        <v>182</v>
      </c>
      <c r="C14" s="15" t="s">
        <v>700</v>
      </c>
      <c r="D14" s="15" t="s">
        <v>925</v>
      </c>
      <c r="F14" s="11" t="b">
        <v>1</v>
      </c>
    </row>
    <row r="15" spans="1:6" x14ac:dyDescent="0.25">
      <c r="A15" s="6">
        <v>3</v>
      </c>
      <c r="B15" s="6" t="s">
        <v>182</v>
      </c>
      <c r="C15" s="15" t="s">
        <v>700</v>
      </c>
      <c r="D15" s="15" t="s">
        <v>645</v>
      </c>
      <c r="F15" s="11" t="b">
        <v>0</v>
      </c>
    </row>
  </sheetData>
  <conditionalFormatting sqref="C8:D8">
    <cfRule type="duplicateValues" dxfId="17" priority="3"/>
  </conditionalFormatting>
  <conditionalFormatting sqref="C12:D12">
    <cfRule type="duplicateValues" dxfId="16" priority="4"/>
  </conditionalFormatting>
  <conditionalFormatting sqref="F8">
    <cfRule type="duplicateValues" dxfId="15" priority="2"/>
  </conditionalFormatting>
  <conditionalFormatting sqref="F11:F12 F9">
    <cfRule type="duplicateValues" dxfId="14" priority="1"/>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F6BAE-38EE-44ED-8A99-D173CEE36412}">
  <sheetPr>
    <tabColor theme="9" tint="-0.499984740745262"/>
  </sheetPr>
  <dimension ref="A1:Q42"/>
  <sheetViews>
    <sheetView showGridLines="0" topLeftCell="C13" zoomScale="70" zoomScaleNormal="70" workbookViewId="0">
      <selection activeCell="C48" sqref="C48"/>
    </sheetView>
  </sheetViews>
  <sheetFormatPr defaultColWidth="33.42578125" defaultRowHeight="15" x14ac:dyDescent="0.25"/>
  <cols>
    <col min="1" max="1" width="6.28515625" bestFit="1" customWidth="1"/>
    <col min="3" max="3" width="65.7109375" customWidth="1"/>
    <col min="4" max="4" width="15.28515625" bestFit="1" customWidth="1"/>
    <col min="5" max="5" width="33.85546875" style="38" customWidth="1"/>
    <col min="6" max="6" width="33.42578125" style="38"/>
  </cols>
  <sheetData>
    <row r="1" spans="2:11" x14ac:dyDescent="0.25">
      <c r="B1" s="157" t="s">
        <v>800</v>
      </c>
      <c r="C1" s="158" t="s">
        <v>926</v>
      </c>
    </row>
    <row r="2" spans="2:11" x14ac:dyDescent="0.25">
      <c r="B2" s="157" t="s">
        <v>802</v>
      </c>
      <c r="C2" s="158"/>
    </row>
    <row r="3" spans="2:11" x14ac:dyDescent="0.25">
      <c r="B3" s="157" t="s">
        <v>803</v>
      </c>
      <c r="C3" s="193" t="s">
        <v>123</v>
      </c>
    </row>
    <row r="4" spans="2:11" x14ac:dyDescent="0.25">
      <c r="B4" s="157" t="s">
        <v>805</v>
      </c>
      <c r="C4" s="194">
        <v>45862</v>
      </c>
    </row>
    <row r="5" spans="2:11" x14ac:dyDescent="0.25">
      <c r="B5" s="157" t="s">
        <v>806</v>
      </c>
      <c r="C5" s="195" t="s">
        <v>776</v>
      </c>
    </row>
    <row r="6" spans="2:11" x14ac:dyDescent="0.25">
      <c r="B6" s="157" t="s">
        <v>807</v>
      </c>
      <c r="C6" s="194">
        <v>45875</v>
      </c>
    </row>
    <row r="7" spans="2:11" ht="17.25" x14ac:dyDescent="0.25">
      <c r="B7" s="2" t="s">
        <v>3</v>
      </c>
      <c r="C7" s="1" t="s">
        <v>927</v>
      </c>
    </row>
    <row r="8" spans="2:11" ht="17.25" x14ac:dyDescent="0.25">
      <c r="B8" s="2" t="s">
        <v>158</v>
      </c>
      <c r="C8" s="1" t="s">
        <v>91</v>
      </c>
    </row>
    <row r="9" spans="2:11" ht="17.25" x14ac:dyDescent="0.25">
      <c r="B9" s="48" t="s">
        <v>159</v>
      </c>
      <c r="C9" s="49" t="s">
        <v>299</v>
      </c>
    </row>
    <row r="10" spans="2:11" ht="45" x14ac:dyDescent="0.25">
      <c r="B10" s="2" t="s">
        <v>162</v>
      </c>
      <c r="C10" s="5" t="s">
        <v>92</v>
      </c>
    </row>
    <row r="13" spans="2:11" x14ac:dyDescent="0.25">
      <c r="E13"/>
      <c r="F13"/>
    </row>
    <row r="14" spans="2:11" s="44" customFormat="1" x14ac:dyDescent="0.25">
      <c r="B14" s="6" t="s">
        <v>163</v>
      </c>
      <c r="C14" s="297" t="s">
        <v>928</v>
      </c>
      <c r="E14" s="352" t="s">
        <v>200</v>
      </c>
      <c r="F14" s="352" t="s">
        <v>200</v>
      </c>
      <c r="G14" s="352" t="s">
        <v>200</v>
      </c>
      <c r="H14" s="352" t="s">
        <v>200</v>
      </c>
      <c r="I14" s="352" t="s">
        <v>200</v>
      </c>
      <c r="J14" s="352" t="s">
        <v>200</v>
      </c>
      <c r="K14" s="352" t="s">
        <v>200</v>
      </c>
    </row>
    <row r="15" spans="2:11" ht="165" x14ac:dyDescent="0.25">
      <c r="B15" s="6" t="s">
        <v>165</v>
      </c>
      <c r="C15" s="351" t="s">
        <v>491</v>
      </c>
      <c r="E15" s="350" t="s">
        <v>929</v>
      </c>
      <c r="F15" s="350" t="s">
        <v>930</v>
      </c>
      <c r="G15" s="351" t="s">
        <v>931</v>
      </c>
      <c r="H15" s="351" t="s">
        <v>932</v>
      </c>
      <c r="I15" s="351" t="s">
        <v>933</v>
      </c>
      <c r="J15" s="351" t="s">
        <v>934</v>
      </c>
      <c r="K15" s="351" t="s">
        <v>935</v>
      </c>
    </row>
    <row r="16" spans="2:11" s="47" customFormat="1" x14ac:dyDescent="0.25">
      <c r="B16" s="51" t="s">
        <v>169</v>
      </c>
      <c r="C16" s="247"/>
      <c r="E16" s="248"/>
      <c r="F16" s="248"/>
      <c r="G16" s="248"/>
      <c r="H16" s="248"/>
      <c r="I16" s="248"/>
      <c r="J16" s="248"/>
      <c r="K16" s="248"/>
    </row>
    <row r="17" spans="1:17" s="47" customFormat="1" x14ac:dyDescent="0.25">
      <c r="B17" s="6" t="s">
        <v>171</v>
      </c>
      <c r="C17" s="289"/>
      <c r="E17" s="248"/>
      <c r="F17" s="248"/>
      <c r="G17" s="248"/>
      <c r="H17" s="248"/>
      <c r="I17" s="248"/>
      <c r="J17" s="248"/>
      <c r="K17" s="248"/>
    </row>
    <row r="18" spans="1:17" x14ac:dyDescent="0.25">
      <c r="B18" s="6" t="s">
        <v>237</v>
      </c>
      <c r="C18" s="250" t="s">
        <v>241</v>
      </c>
      <c r="E18" s="249" t="s">
        <v>359</v>
      </c>
      <c r="F18" s="249" t="s">
        <v>357</v>
      </c>
      <c r="G18" s="249" t="s">
        <v>357</v>
      </c>
      <c r="H18" s="249" t="s">
        <v>357</v>
      </c>
      <c r="I18" s="249" t="s">
        <v>357</v>
      </c>
      <c r="J18" s="249" t="s">
        <v>357</v>
      </c>
      <c r="K18" s="249" t="s">
        <v>357</v>
      </c>
    </row>
    <row r="19" spans="1:17" x14ac:dyDescent="0.25">
      <c r="A19" s="6" t="s">
        <v>178</v>
      </c>
      <c r="B19" s="6" t="s">
        <v>301</v>
      </c>
      <c r="C19" s="292" t="s">
        <v>936</v>
      </c>
      <c r="E19" s="249" t="s">
        <v>937</v>
      </c>
      <c r="F19" s="249" t="s">
        <v>500</v>
      </c>
      <c r="G19" s="249" t="s">
        <v>500</v>
      </c>
      <c r="H19" s="249" t="s">
        <v>500</v>
      </c>
      <c r="I19" s="249" t="s">
        <v>500</v>
      </c>
      <c r="J19" s="249" t="s">
        <v>500</v>
      </c>
      <c r="K19" s="249" t="s">
        <v>500</v>
      </c>
    </row>
    <row r="20" spans="1:17" x14ac:dyDescent="0.25">
      <c r="A20" s="418" t="s">
        <v>692</v>
      </c>
      <c r="B20" s="419"/>
      <c r="C20" s="419"/>
      <c r="D20" s="419"/>
      <c r="E20" s="419"/>
      <c r="F20" s="419"/>
      <c r="G20" s="419"/>
      <c r="H20" s="419"/>
      <c r="I20" s="419"/>
      <c r="J20" s="419"/>
      <c r="K20" s="419"/>
      <c r="Q20" s="72"/>
    </row>
    <row r="21" spans="1:17" x14ac:dyDescent="0.25">
      <c r="A21" s="6">
        <v>1</v>
      </c>
      <c r="B21" s="139" t="s">
        <v>182</v>
      </c>
      <c r="C21" s="397" t="s">
        <v>574</v>
      </c>
      <c r="D21" s="184"/>
      <c r="E21" s="196" t="s">
        <v>938</v>
      </c>
      <c r="F21" s="197" t="b">
        <v>1</v>
      </c>
      <c r="G21" s="197" t="b">
        <v>1</v>
      </c>
      <c r="H21" s="197" t="b">
        <v>1</v>
      </c>
      <c r="I21" s="197" t="b">
        <v>1</v>
      </c>
      <c r="J21" s="197" t="b">
        <v>1</v>
      </c>
      <c r="K21" s="197" t="b">
        <v>1</v>
      </c>
    </row>
    <row r="22" spans="1:17" x14ac:dyDescent="0.25">
      <c r="A22" s="6">
        <v>2</v>
      </c>
      <c r="B22" s="139" t="s">
        <v>182</v>
      </c>
      <c r="C22" s="397" t="s">
        <v>580</v>
      </c>
      <c r="D22" s="184"/>
      <c r="E22" s="196" t="s">
        <v>938</v>
      </c>
      <c r="F22" s="197" t="b">
        <v>0</v>
      </c>
      <c r="G22" s="197" t="b">
        <v>0</v>
      </c>
      <c r="H22" s="197" t="b">
        <v>0</v>
      </c>
      <c r="I22" s="197" t="b">
        <v>0</v>
      </c>
      <c r="J22" s="197" t="b">
        <v>0</v>
      </c>
      <c r="K22" s="197" t="b">
        <v>0</v>
      </c>
    </row>
    <row r="23" spans="1:17" x14ac:dyDescent="0.25">
      <c r="A23" s="6">
        <v>3</v>
      </c>
      <c r="B23" s="139" t="s">
        <v>182</v>
      </c>
      <c r="C23" s="397" t="s">
        <v>576</v>
      </c>
      <c r="D23" s="184"/>
      <c r="E23" s="196" t="s">
        <v>939</v>
      </c>
      <c r="F23" s="197" t="b">
        <v>0</v>
      </c>
      <c r="G23" s="197" t="b">
        <v>0</v>
      </c>
      <c r="H23" s="197" t="b">
        <v>0</v>
      </c>
      <c r="I23" s="197" t="b">
        <v>0</v>
      </c>
      <c r="J23" s="197" t="b">
        <v>0</v>
      </c>
      <c r="K23" s="197" t="b">
        <v>0</v>
      </c>
    </row>
    <row r="24" spans="1:17" x14ac:dyDescent="0.25">
      <c r="A24" s="6"/>
      <c r="B24" s="139"/>
      <c r="C24" s="190"/>
      <c r="D24" s="184"/>
      <c r="E24" s="196"/>
      <c r="F24" s="197"/>
      <c r="G24" s="197"/>
      <c r="H24" s="197"/>
      <c r="I24" s="197"/>
      <c r="J24" s="197"/>
      <c r="K24" s="197"/>
    </row>
    <row r="25" spans="1:17" x14ac:dyDescent="0.25">
      <c r="A25" s="6"/>
      <c r="B25" s="139"/>
      <c r="C25" s="190"/>
      <c r="D25" s="184"/>
      <c r="E25" s="196"/>
      <c r="F25" s="197"/>
      <c r="G25" s="197"/>
      <c r="H25" s="197"/>
      <c r="I25" s="197"/>
      <c r="J25" s="197"/>
      <c r="K25" s="197"/>
    </row>
    <row r="26" spans="1:17" x14ac:dyDescent="0.25">
      <c r="A26" s="6"/>
      <c r="B26" s="139"/>
      <c r="C26" s="190"/>
      <c r="D26" s="184"/>
      <c r="E26" s="196"/>
      <c r="F26" s="197"/>
      <c r="G26" s="197"/>
      <c r="H26" s="197"/>
      <c r="I26" s="197"/>
      <c r="J26" s="197"/>
      <c r="K26" s="197"/>
    </row>
    <row r="27" spans="1:17" x14ac:dyDescent="0.25">
      <c r="A27" s="418" t="s">
        <v>1007</v>
      </c>
      <c r="B27" s="419"/>
      <c r="C27" s="419"/>
      <c r="D27" s="419"/>
      <c r="E27" s="419"/>
      <c r="F27" s="419"/>
      <c r="G27" s="419"/>
      <c r="H27" s="419"/>
      <c r="I27" s="419"/>
      <c r="J27" s="419"/>
      <c r="K27" s="419"/>
      <c r="Q27" s="72"/>
    </row>
    <row r="28" spans="1:17" ht="13.9" customHeight="1" x14ac:dyDescent="0.25">
      <c r="A28" s="6">
        <v>4</v>
      </c>
      <c r="B28" s="139" t="s">
        <v>182</v>
      </c>
      <c r="C28" s="185" t="s">
        <v>588</v>
      </c>
      <c r="D28" s="184"/>
      <c r="E28" s="196" t="s">
        <v>938</v>
      </c>
      <c r="F28" s="197" t="b">
        <v>0</v>
      </c>
      <c r="G28" s="197" t="b">
        <v>0</v>
      </c>
      <c r="H28" s="197" t="b">
        <v>0</v>
      </c>
      <c r="I28" s="197" t="b">
        <v>0</v>
      </c>
      <c r="J28" s="197" t="b">
        <v>0</v>
      </c>
      <c r="K28" s="197" t="b">
        <v>0</v>
      </c>
    </row>
    <row r="29" spans="1:17" x14ac:dyDescent="0.25">
      <c r="A29" s="6">
        <v>5</v>
      </c>
      <c r="B29" s="186" t="s">
        <v>182</v>
      </c>
      <c r="C29" s="185" t="s">
        <v>590</v>
      </c>
      <c r="D29" s="184"/>
      <c r="E29" s="196" t="s">
        <v>939</v>
      </c>
      <c r="F29" s="197" t="b">
        <v>0</v>
      </c>
      <c r="G29" s="197" t="b">
        <v>0</v>
      </c>
      <c r="H29" s="197" t="b">
        <v>0</v>
      </c>
      <c r="I29" s="197" t="b">
        <v>0</v>
      </c>
      <c r="J29" s="197" t="b">
        <v>0</v>
      </c>
      <c r="K29" s="197" t="b">
        <v>0</v>
      </c>
    </row>
    <row r="30" spans="1:17" x14ac:dyDescent="0.25">
      <c r="A30" s="6">
        <v>6</v>
      </c>
      <c r="B30" s="186" t="s">
        <v>182</v>
      </c>
      <c r="C30" s="185" t="s">
        <v>596</v>
      </c>
      <c r="D30" s="184"/>
      <c r="E30" s="196" t="s">
        <v>940</v>
      </c>
      <c r="F30" s="197" t="b">
        <v>1</v>
      </c>
      <c r="G30" s="197" t="b">
        <v>1</v>
      </c>
      <c r="H30" s="197" t="b">
        <v>1</v>
      </c>
      <c r="I30" s="197" t="b">
        <v>1</v>
      </c>
      <c r="J30" s="197" t="b">
        <v>1</v>
      </c>
      <c r="K30" s="197" t="b">
        <v>1</v>
      </c>
    </row>
    <row r="31" spans="1:17" x14ac:dyDescent="0.25">
      <c r="A31" s="6">
        <v>7</v>
      </c>
      <c r="B31" s="186" t="s">
        <v>182</v>
      </c>
      <c r="C31" s="185" t="s">
        <v>596</v>
      </c>
      <c r="D31" s="184"/>
      <c r="E31" s="196" t="s">
        <v>939</v>
      </c>
      <c r="F31" s="197" t="b">
        <v>0</v>
      </c>
      <c r="G31" s="197" t="b">
        <v>0</v>
      </c>
      <c r="H31" s="197" t="b">
        <v>0</v>
      </c>
      <c r="I31" s="197" t="b">
        <v>0</v>
      </c>
      <c r="J31" s="197" t="b">
        <v>0</v>
      </c>
      <c r="K31" s="197" t="b">
        <v>0</v>
      </c>
    </row>
    <row r="32" spans="1:17" x14ac:dyDescent="0.25">
      <c r="A32" s="6">
        <v>9</v>
      </c>
      <c r="B32" s="186" t="s">
        <v>182</v>
      </c>
      <c r="C32" s="185" t="s">
        <v>598</v>
      </c>
      <c r="D32" s="184"/>
      <c r="E32" s="196" t="s">
        <v>939</v>
      </c>
      <c r="F32" s="197" t="b">
        <v>0</v>
      </c>
      <c r="G32" s="197" t="b">
        <v>0</v>
      </c>
      <c r="H32" s="197" t="b">
        <v>0</v>
      </c>
      <c r="I32" s="197" t="b">
        <v>0</v>
      </c>
      <c r="J32" s="197" t="b">
        <v>0</v>
      </c>
      <c r="K32" s="197" t="b">
        <v>0</v>
      </c>
    </row>
    <row r="33" spans="1:11" x14ac:dyDescent="0.25">
      <c r="A33" s="6">
        <v>10</v>
      </c>
      <c r="B33" s="123" t="s">
        <v>182</v>
      </c>
      <c r="C33" s="185" t="s">
        <v>600</v>
      </c>
      <c r="D33" s="184"/>
      <c r="E33" s="196" t="s">
        <v>939</v>
      </c>
      <c r="F33" s="197" t="b">
        <v>0</v>
      </c>
      <c r="G33" s="197" t="b">
        <v>0</v>
      </c>
      <c r="H33" s="197" t="b">
        <v>0</v>
      </c>
      <c r="I33" s="197" t="b">
        <v>0</v>
      </c>
      <c r="J33" s="197" t="b">
        <v>0</v>
      </c>
      <c r="K33" s="197" t="b">
        <v>0</v>
      </c>
    </row>
    <row r="34" spans="1:11" x14ac:dyDescent="0.25">
      <c r="A34" s="6">
        <v>11</v>
      </c>
      <c r="B34" s="123" t="s">
        <v>182</v>
      </c>
      <c r="C34" s="185" t="s">
        <v>602</v>
      </c>
      <c r="D34" s="184"/>
      <c r="E34" s="196" t="s">
        <v>941</v>
      </c>
      <c r="F34" s="197" t="b">
        <v>1</v>
      </c>
      <c r="G34" s="197" t="b">
        <v>1</v>
      </c>
      <c r="H34" s="197" t="b">
        <v>1</v>
      </c>
      <c r="I34" s="197" t="b">
        <v>1</v>
      </c>
      <c r="J34" s="197" t="b">
        <v>1</v>
      </c>
      <c r="K34" s="197" t="b">
        <v>1</v>
      </c>
    </row>
    <row r="35" spans="1:11" x14ac:dyDescent="0.25">
      <c r="A35" s="6">
        <v>12</v>
      </c>
      <c r="B35" s="123" t="s">
        <v>182</v>
      </c>
      <c r="C35" s="185" t="s">
        <v>604</v>
      </c>
      <c r="D35" s="72"/>
      <c r="E35" s="196" t="s">
        <v>941</v>
      </c>
      <c r="F35" s="197" t="b">
        <v>1</v>
      </c>
      <c r="G35" s="197" t="b">
        <v>1</v>
      </c>
      <c r="H35" s="197" t="b">
        <v>1</v>
      </c>
      <c r="I35" s="197" t="b">
        <v>1</v>
      </c>
      <c r="J35" s="197" t="b">
        <v>1</v>
      </c>
      <c r="K35" s="197" t="b">
        <v>1</v>
      </c>
    </row>
    <row r="36" spans="1:11" x14ac:dyDescent="0.25">
      <c r="A36" s="6">
        <v>13</v>
      </c>
      <c r="B36" s="123" t="s">
        <v>182</v>
      </c>
      <c r="C36" s="185" t="s">
        <v>608</v>
      </c>
      <c r="E36" s="196" t="s">
        <v>941</v>
      </c>
      <c r="F36" s="197" t="b">
        <v>1</v>
      </c>
      <c r="G36" s="197" t="b">
        <v>1</v>
      </c>
      <c r="H36" s="197" t="b">
        <v>1</v>
      </c>
      <c r="I36" s="197" t="b">
        <v>1</v>
      </c>
      <c r="J36" s="197" t="b">
        <v>1</v>
      </c>
      <c r="K36" s="197" t="b">
        <v>1</v>
      </c>
    </row>
    <row r="37" spans="1:11" x14ac:dyDescent="0.25">
      <c r="A37" s="6">
        <v>14</v>
      </c>
      <c r="B37" s="123" t="s">
        <v>182</v>
      </c>
      <c r="C37" s="185" t="s">
        <v>610</v>
      </c>
      <c r="E37" s="196" t="s">
        <v>939</v>
      </c>
      <c r="F37" s="197" t="b">
        <v>0</v>
      </c>
      <c r="G37" s="197" t="b">
        <v>0</v>
      </c>
      <c r="H37" s="197" t="b">
        <v>0</v>
      </c>
      <c r="I37" s="197" t="b">
        <v>0</v>
      </c>
      <c r="J37" s="197" t="b">
        <v>0</v>
      </c>
      <c r="K37" s="197" t="b">
        <v>0</v>
      </c>
    </row>
    <row r="38" spans="1:11" x14ac:dyDescent="0.25">
      <c r="A38" s="6">
        <v>15</v>
      </c>
      <c r="B38" s="123" t="s">
        <v>182</v>
      </c>
      <c r="C38" s="185" t="s">
        <v>592</v>
      </c>
      <c r="E38" s="196" t="s">
        <v>942</v>
      </c>
      <c r="F38" s="197" t="b">
        <v>1</v>
      </c>
      <c r="G38" s="197" t="b">
        <v>1</v>
      </c>
      <c r="H38" s="197" t="b">
        <v>1</v>
      </c>
      <c r="I38" s="197" t="b">
        <v>1</v>
      </c>
      <c r="J38" s="197" t="b">
        <v>1</v>
      </c>
      <c r="K38" s="197" t="b">
        <v>1</v>
      </c>
    </row>
    <row r="39" spans="1:11" x14ac:dyDescent="0.25">
      <c r="A39" s="6">
        <v>16</v>
      </c>
      <c r="B39" s="123" t="s">
        <v>182</v>
      </c>
      <c r="C39" s="185" t="s">
        <v>592</v>
      </c>
      <c r="E39" s="196" t="s">
        <v>943</v>
      </c>
      <c r="F39" s="197" t="b">
        <v>0</v>
      </c>
      <c r="G39" s="197" t="b">
        <v>0</v>
      </c>
      <c r="H39" s="197" t="b">
        <v>0</v>
      </c>
      <c r="I39" s="197" t="b">
        <v>0</v>
      </c>
      <c r="J39" s="197" t="b">
        <v>0</v>
      </c>
      <c r="K39" s="197" t="b">
        <v>0</v>
      </c>
    </row>
    <row r="40" spans="1:11" x14ac:dyDescent="0.25">
      <c r="E40"/>
      <c r="F40"/>
    </row>
    <row r="41" spans="1:11" x14ac:dyDescent="0.25">
      <c r="E41"/>
      <c r="F41"/>
    </row>
    <row r="42" spans="1:11" x14ac:dyDescent="0.25">
      <c r="E42"/>
      <c r="F42"/>
    </row>
  </sheetData>
  <autoFilter ref="B19:C35" xr:uid="{ED3A289A-DDDA-45C9-8235-3D9BDC36174A}"/>
  <mergeCells count="2">
    <mergeCell ref="A20:K20"/>
    <mergeCell ref="A27:K27"/>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54B7F-044E-4BF1-9EBE-C53F7CCA39B9}">
  <sheetPr>
    <tabColor theme="6"/>
  </sheetPr>
  <dimension ref="A1:M60"/>
  <sheetViews>
    <sheetView workbookViewId="0">
      <selection activeCell="B13" sqref="B13"/>
    </sheetView>
  </sheetViews>
  <sheetFormatPr defaultRowHeight="15" x14ac:dyDescent="0.25"/>
  <cols>
    <col min="1" max="1" width="10.140625" customWidth="1"/>
    <col min="2" max="2" width="23.7109375" bestFit="1" customWidth="1"/>
    <col min="3" max="3" width="27" customWidth="1"/>
    <col min="4" max="6" width="34.140625" customWidth="1"/>
    <col min="7" max="7" width="8.7109375" customWidth="1"/>
    <col min="8" max="8" width="34.140625" customWidth="1"/>
    <col min="9" max="9" width="26.7109375" customWidth="1"/>
    <col min="10" max="10" width="36.85546875" customWidth="1"/>
    <col min="11" max="11" width="26.7109375" customWidth="1"/>
    <col min="12" max="12" width="17.28515625" customWidth="1"/>
    <col min="13" max="13" width="19.28515625" customWidth="1"/>
  </cols>
  <sheetData>
    <row r="1" spans="1:9" ht="15.75" x14ac:dyDescent="0.25">
      <c r="B1" s="200" t="s">
        <v>800</v>
      </c>
      <c r="C1" s="201" t="s">
        <v>944</v>
      </c>
    </row>
    <row r="2" spans="1:9" ht="15.75" x14ac:dyDescent="0.25">
      <c r="B2" s="200" t="s">
        <v>802</v>
      </c>
      <c r="C2" s="202" t="s">
        <v>872</v>
      </c>
    </row>
    <row r="3" spans="1:9" ht="15.75" x14ac:dyDescent="0.25">
      <c r="B3" s="200" t="s">
        <v>803</v>
      </c>
      <c r="C3" s="202" t="s">
        <v>945</v>
      </c>
    </row>
    <row r="4" spans="1:9" ht="15.75" x14ac:dyDescent="0.25">
      <c r="B4" s="200" t="s">
        <v>805</v>
      </c>
      <c r="C4" s="203">
        <v>45908</v>
      </c>
    </row>
    <row r="5" spans="1:9" ht="15.75" x14ac:dyDescent="0.25">
      <c r="B5" s="200" t="s">
        <v>806</v>
      </c>
      <c r="C5" s="202"/>
    </row>
    <row r="6" spans="1:9" ht="15.75" x14ac:dyDescent="0.25">
      <c r="B6" s="200" t="s">
        <v>807</v>
      </c>
      <c r="C6" s="204"/>
    </row>
    <row r="7" spans="1:9" ht="31.5" x14ac:dyDescent="0.25">
      <c r="B7" s="205" t="s">
        <v>3</v>
      </c>
      <c r="C7" s="206" t="s">
        <v>946</v>
      </c>
    </row>
    <row r="8" spans="1:9" ht="31.5" x14ac:dyDescent="0.25">
      <c r="B8" s="205" t="s">
        <v>158</v>
      </c>
      <c r="C8" s="206" t="s">
        <v>76</v>
      </c>
    </row>
    <row r="9" spans="1:9" s="47" customFormat="1" ht="15.75" x14ac:dyDescent="0.25">
      <c r="B9" s="207" t="s">
        <v>159</v>
      </c>
      <c r="C9" s="206" t="s">
        <v>199</v>
      </c>
    </row>
    <row r="10" spans="1:9" ht="47.25" x14ac:dyDescent="0.25">
      <c r="B10" s="205" t="s">
        <v>162</v>
      </c>
      <c r="C10" s="208" t="s">
        <v>77</v>
      </c>
      <c r="D10" s="25"/>
      <c r="E10" s="25"/>
      <c r="F10" s="25"/>
      <c r="G10" s="25"/>
    </row>
    <row r="11" spans="1:9" x14ac:dyDescent="0.25">
      <c r="G11" s="25"/>
    </row>
    <row r="12" spans="1:9" x14ac:dyDescent="0.25">
      <c r="I12" s="47"/>
    </row>
    <row r="13" spans="1:9" x14ac:dyDescent="0.25">
      <c r="B13" s="6" t="s">
        <v>163</v>
      </c>
      <c r="C13" s="22" t="s">
        <v>164</v>
      </c>
      <c r="D13" s="22" t="s">
        <v>164</v>
      </c>
      <c r="E13" s="22" t="s">
        <v>164</v>
      </c>
      <c r="F13" s="22" t="s">
        <v>164</v>
      </c>
      <c r="H13" s="22" t="s">
        <v>200</v>
      </c>
      <c r="I13" s="47"/>
    </row>
    <row r="14" spans="1:9" ht="30" x14ac:dyDescent="0.25">
      <c r="B14" s="93" t="s">
        <v>947</v>
      </c>
      <c r="C14" s="22" t="s">
        <v>222</v>
      </c>
      <c r="D14" s="179" t="s">
        <v>167</v>
      </c>
      <c r="E14" s="22" t="s">
        <v>948</v>
      </c>
      <c r="F14" s="22" t="s">
        <v>223</v>
      </c>
      <c r="H14" s="19" t="s">
        <v>949</v>
      </c>
      <c r="I14" s="47"/>
    </row>
    <row r="15" spans="1:9" s="47" customFormat="1" x14ac:dyDescent="0.25">
      <c r="A15"/>
      <c r="B15" s="51" t="s">
        <v>169</v>
      </c>
      <c r="C15" s="52"/>
      <c r="D15" s="52"/>
      <c r="E15" s="52"/>
      <c r="F15" s="52"/>
      <c r="G15"/>
      <c r="H15" s="49"/>
    </row>
    <row r="16" spans="1:9" s="47" customFormat="1" x14ac:dyDescent="0.25">
      <c r="A16"/>
      <c r="B16" s="51" t="s">
        <v>171</v>
      </c>
      <c r="C16" s="49" t="s">
        <v>950</v>
      </c>
      <c r="D16" s="49" t="s">
        <v>950</v>
      </c>
      <c r="E16" s="209" t="s">
        <v>950</v>
      </c>
      <c r="F16" s="49" t="s">
        <v>950</v>
      </c>
      <c r="G16"/>
      <c r="H16" s="56" t="s">
        <v>239</v>
      </c>
    </row>
    <row r="17" spans="1:11" x14ac:dyDescent="0.25">
      <c r="B17" s="6" t="s">
        <v>237</v>
      </c>
      <c r="C17" s="1" t="s">
        <v>838</v>
      </c>
      <c r="D17" s="1" t="s">
        <v>951</v>
      </c>
      <c r="E17" s="1"/>
      <c r="F17" s="1" t="s">
        <v>359</v>
      </c>
      <c r="H17" s="7"/>
    </row>
    <row r="18" spans="1:11" ht="60" x14ac:dyDescent="0.25">
      <c r="A18" s="6" t="s">
        <v>178</v>
      </c>
      <c r="B18" s="6" t="s">
        <v>179</v>
      </c>
      <c r="C18" s="7" t="s">
        <v>952</v>
      </c>
      <c r="D18" s="7" t="s">
        <v>953</v>
      </c>
      <c r="E18" s="7" t="s">
        <v>954</v>
      </c>
      <c r="F18" s="7" t="s">
        <v>955</v>
      </c>
      <c r="H18" s="7" t="s">
        <v>956</v>
      </c>
    </row>
    <row r="19" spans="1:11" ht="30" x14ac:dyDescent="0.25">
      <c r="A19" s="6">
        <v>1</v>
      </c>
      <c r="B19" s="6" t="s">
        <v>957</v>
      </c>
      <c r="C19" s="84" t="s">
        <v>308</v>
      </c>
      <c r="D19" s="84" t="s">
        <v>256</v>
      </c>
      <c r="E19" s="84" t="s">
        <v>958</v>
      </c>
      <c r="F19" s="84" t="s">
        <v>959</v>
      </c>
      <c r="H19" s="84" t="b">
        <v>0</v>
      </c>
    </row>
    <row r="20" spans="1:11" ht="30" x14ac:dyDescent="0.25">
      <c r="A20" s="6">
        <v>2</v>
      </c>
      <c r="B20" s="6" t="s">
        <v>957</v>
      </c>
      <c r="C20" s="84" t="s">
        <v>308</v>
      </c>
      <c r="D20" s="84" t="s">
        <v>256</v>
      </c>
      <c r="E20" s="84" t="s">
        <v>958</v>
      </c>
      <c r="F20" s="84" t="s">
        <v>959</v>
      </c>
      <c r="H20" s="84" t="b">
        <v>1</v>
      </c>
    </row>
    <row r="21" spans="1:11" ht="30" x14ac:dyDescent="0.25">
      <c r="A21" s="6">
        <v>3</v>
      </c>
      <c r="B21" s="6" t="s">
        <v>960</v>
      </c>
      <c r="C21" s="84" t="s">
        <v>288</v>
      </c>
      <c r="D21" s="84" t="s">
        <v>256</v>
      </c>
      <c r="E21" s="84" t="s">
        <v>776</v>
      </c>
      <c r="F21" s="84" t="s">
        <v>276</v>
      </c>
      <c r="H21" s="84" t="b">
        <v>1</v>
      </c>
    </row>
    <row r="22" spans="1:11" ht="30" x14ac:dyDescent="0.25">
      <c r="A22" s="6">
        <v>4</v>
      </c>
      <c r="B22" s="6" t="s">
        <v>961</v>
      </c>
      <c r="C22" s="84" t="s">
        <v>962</v>
      </c>
      <c r="D22" s="84" t="s">
        <v>256</v>
      </c>
      <c r="E22" s="84" t="s">
        <v>963</v>
      </c>
      <c r="F22" s="84" t="s">
        <v>958</v>
      </c>
      <c r="H22" s="84" t="b">
        <v>0</v>
      </c>
    </row>
    <row r="23" spans="1:11" ht="30" x14ac:dyDescent="0.25">
      <c r="A23" s="6">
        <v>5</v>
      </c>
      <c r="B23" s="6" t="s">
        <v>961</v>
      </c>
      <c r="C23" s="84" t="s">
        <v>962</v>
      </c>
      <c r="D23" s="84" t="s">
        <v>256</v>
      </c>
      <c r="E23" s="84" t="s">
        <v>776</v>
      </c>
      <c r="F23" s="84" t="s">
        <v>958</v>
      </c>
      <c r="H23" s="84" t="b">
        <v>1</v>
      </c>
    </row>
    <row r="24" spans="1:11" x14ac:dyDescent="0.25">
      <c r="A24" s="6"/>
      <c r="B24" s="6"/>
      <c r="C24" s="84"/>
      <c r="D24" s="84"/>
      <c r="E24" s="84"/>
      <c r="F24" s="84"/>
      <c r="H24" s="84"/>
    </row>
    <row r="25" spans="1:11" x14ac:dyDescent="0.25">
      <c r="A25" s="6"/>
      <c r="B25" s="6"/>
      <c r="C25" s="84"/>
      <c r="D25" s="84"/>
      <c r="E25" s="84"/>
      <c r="F25" s="84"/>
      <c r="H25" s="84"/>
    </row>
    <row r="28" spans="1:11" ht="17.25" hidden="1" x14ac:dyDescent="0.25">
      <c r="B28" s="2" t="s">
        <v>3</v>
      </c>
      <c r="C28" s="1" t="s">
        <v>964</v>
      </c>
    </row>
    <row r="29" spans="1:11" ht="17.25" hidden="1" x14ac:dyDescent="0.25">
      <c r="B29" s="2" t="s">
        <v>158</v>
      </c>
      <c r="C29" s="1" t="s">
        <v>964</v>
      </c>
    </row>
    <row r="30" spans="1:11" ht="17.25" hidden="1" x14ac:dyDescent="0.25">
      <c r="A30" s="47"/>
      <c r="B30" s="48" t="s">
        <v>159</v>
      </c>
      <c r="C30" s="49" t="s">
        <v>199</v>
      </c>
      <c r="D30" s="47"/>
      <c r="E30" s="47"/>
      <c r="F30" s="47"/>
      <c r="G30" s="47"/>
      <c r="H30" s="47"/>
      <c r="I30" s="47"/>
      <c r="J30" s="47"/>
      <c r="K30" s="47"/>
    </row>
    <row r="31" spans="1:11" ht="90" hidden="1" x14ac:dyDescent="0.25">
      <c r="B31" s="2" t="s">
        <v>162</v>
      </c>
      <c r="C31" s="5" t="s">
        <v>965</v>
      </c>
      <c r="D31" s="25"/>
      <c r="E31" s="25"/>
      <c r="F31" s="25"/>
      <c r="G31" s="25"/>
    </row>
    <row r="32" spans="1:11" ht="17.25" hidden="1" x14ac:dyDescent="0.25">
      <c r="B32" s="210" t="s">
        <v>966</v>
      </c>
      <c r="C32" t="s">
        <v>967</v>
      </c>
      <c r="G32" s="25"/>
    </row>
    <row r="33" spans="1:13" hidden="1" x14ac:dyDescent="0.25"/>
    <row r="34" spans="1:13" ht="15" hidden="1" customHeight="1" x14ac:dyDescent="0.25">
      <c r="C34" s="459" t="s">
        <v>378</v>
      </c>
      <c r="D34" s="460"/>
      <c r="E34" s="460"/>
      <c r="F34" s="460"/>
      <c r="G34" s="460"/>
      <c r="I34" s="461"/>
      <c r="J34" s="461"/>
      <c r="K34" s="461"/>
      <c r="L34" s="462" t="s">
        <v>745</v>
      </c>
      <c r="M34" s="463"/>
    </row>
    <row r="35" spans="1:13" ht="30" hidden="1" x14ac:dyDescent="0.25">
      <c r="B35" s="160" t="s">
        <v>947</v>
      </c>
      <c r="C35" s="4" t="s">
        <v>968</v>
      </c>
      <c r="D35" s="4"/>
      <c r="E35" s="4"/>
      <c r="F35" s="4"/>
      <c r="G35" s="4" t="s">
        <v>948</v>
      </c>
      <c r="I35" s="4" t="s">
        <v>748</v>
      </c>
      <c r="J35" s="4" t="s">
        <v>969</v>
      </c>
      <c r="K35" s="211" t="s">
        <v>750</v>
      </c>
      <c r="L35" s="212" t="s">
        <v>751</v>
      </c>
      <c r="M35" s="212" t="s">
        <v>752</v>
      </c>
    </row>
    <row r="36" spans="1:13" hidden="1" x14ac:dyDescent="0.25">
      <c r="A36" s="47"/>
      <c r="B36" s="51" t="s">
        <v>169</v>
      </c>
      <c r="C36" s="52"/>
      <c r="D36" s="52"/>
      <c r="E36" s="52"/>
      <c r="F36" s="52"/>
      <c r="G36" s="52"/>
      <c r="H36" s="47"/>
      <c r="I36" s="49"/>
      <c r="J36" s="49"/>
      <c r="K36" s="209"/>
      <c r="L36" s="213"/>
      <c r="M36" s="213"/>
    </row>
    <row r="37" spans="1:13" hidden="1" x14ac:dyDescent="0.25">
      <c r="A37" s="47"/>
      <c r="B37" s="51" t="s">
        <v>171</v>
      </c>
      <c r="C37" s="53" t="s">
        <v>172</v>
      </c>
      <c r="D37" s="53"/>
      <c r="E37" s="53"/>
      <c r="F37" s="53"/>
      <c r="G37" s="53" t="s">
        <v>172</v>
      </c>
      <c r="H37" s="54"/>
      <c r="I37" s="57"/>
      <c r="J37" s="57"/>
      <c r="K37" s="214"/>
      <c r="L37" s="213" t="s">
        <v>239</v>
      </c>
      <c r="M37" s="213" t="s">
        <v>358</v>
      </c>
    </row>
    <row r="38" spans="1:13" hidden="1" x14ac:dyDescent="0.25">
      <c r="B38" s="6" t="s">
        <v>237</v>
      </c>
      <c r="C38" s="1" t="s">
        <v>241</v>
      </c>
      <c r="D38" s="1"/>
      <c r="E38" s="1"/>
      <c r="F38" s="1"/>
      <c r="G38" s="1" t="s">
        <v>241</v>
      </c>
      <c r="I38" s="7"/>
      <c r="J38" s="7"/>
      <c r="K38" s="215"/>
      <c r="L38" s="216"/>
      <c r="M38" s="216"/>
    </row>
    <row r="39" spans="1:13" ht="240" hidden="1" x14ac:dyDescent="0.25">
      <c r="A39" s="6" t="s">
        <v>178</v>
      </c>
      <c r="B39" s="6" t="s">
        <v>179</v>
      </c>
      <c r="C39" s="5" t="s">
        <v>970</v>
      </c>
      <c r="D39" s="5"/>
      <c r="E39" s="5"/>
      <c r="F39" s="5"/>
      <c r="G39" s="7" t="s">
        <v>971</v>
      </c>
      <c r="I39" s="7"/>
      <c r="J39" s="7"/>
      <c r="K39" s="215"/>
      <c r="L39" s="217" t="s">
        <v>972</v>
      </c>
      <c r="M39" s="217" t="s">
        <v>973</v>
      </c>
    </row>
    <row r="40" spans="1:13" ht="30" hidden="1" x14ac:dyDescent="0.25">
      <c r="A40" s="83"/>
      <c r="B40" s="6" t="s">
        <v>182</v>
      </c>
      <c r="C40" s="84" t="s">
        <v>974</v>
      </c>
      <c r="D40" s="84"/>
      <c r="E40" s="84"/>
      <c r="F40" s="84"/>
      <c r="G40" s="64" t="s">
        <v>666</v>
      </c>
      <c r="I40" s="84" t="b">
        <v>0</v>
      </c>
      <c r="J40" s="84" t="b">
        <v>0</v>
      </c>
      <c r="K40" s="218" t="b">
        <v>0</v>
      </c>
      <c r="L40" s="219" t="b">
        <v>0</v>
      </c>
      <c r="M40" s="216"/>
    </row>
    <row r="41" spans="1:13" ht="30" hidden="1" x14ac:dyDescent="0.25">
      <c r="A41" s="83"/>
      <c r="B41" s="6" t="s">
        <v>182</v>
      </c>
      <c r="C41" s="84" t="s">
        <v>974</v>
      </c>
      <c r="D41" s="84"/>
      <c r="E41" s="84"/>
      <c r="F41" s="84"/>
      <c r="G41" s="64" t="s">
        <v>669</v>
      </c>
      <c r="I41" s="84" t="b">
        <v>0</v>
      </c>
      <c r="J41" s="84" t="b">
        <v>0</v>
      </c>
      <c r="K41" s="218" t="b">
        <v>0</v>
      </c>
      <c r="L41" s="219" t="b">
        <v>1</v>
      </c>
      <c r="M41" s="216">
        <v>10</v>
      </c>
    </row>
    <row r="42" spans="1:13" ht="30" hidden="1" x14ac:dyDescent="0.25">
      <c r="A42" s="83"/>
      <c r="B42" s="6" t="s">
        <v>182</v>
      </c>
      <c r="C42" s="84" t="s">
        <v>974</v>
      </c>
      <c r="D42" s="84"/>
      <c r="E42" s="84"/>
      <c r="F42" s="84"/>
      <c r="G42" s="64" t="s">
        <v>262</v>
      </c>
      <c r="I42" s="84" t="b">
        <v>0</v>
      </c>
      <c r="J42" s="84" t="b">
        <v>0</v>
      </c>
      <c r="K42" s="218" t="b">
        <v>0</v>
      </c>
      <c r="L42" s="219" t="b">
        <v>0</v>
      </c>
      <c r="M42" s="216"/>
    </row>
    <row r="43" spans="1:13" ht="30" hidden="1" x14ac:dyDescent="0.25">
      <c r="A43" s="83"/>
      <c r="B43" s="6" t="s">
        <v>182</v>
      </c>
      <c r="C43" s="84" t="s">
        <v>974</v>
      </c>
      <c r="D43" s="84"/>
      <c r="E43" s="84"/>
      <c r="F43" s="84"/>
      <c r="G43" s="64" t="s">
        <v>263</v>
      </c>
      <c r="I43" s="84" t="b">
        <v>0</v>
      </c>
      <c r="J43" s="84" t="b">
        <v>0</v>
      </c>
      <c r="K43" s="218" t="b">
        <v>0</v>
      </c>
      <c r="L43" s="219" t="b">
        <v>0</v>
      </c>
      <c r="M43" s="216"/>
    </row>
    <row r="44" spans="1:13" hidden="1" x14ac:dyDescent="0.25">
      <c r="L44" s="72"/>
    </row>
    <row r="45" spans="1:13" hidden="1" x14ac:dyDescent="0.25">
      <c r="L45" s="72"/>
    </row>
    <row r="46" spans="1:13" hidden="1" x14ac:dyDescent="0.25">
      <c r="L46" s="72"/>
    </row>
    <row r="47" spans="1:13" hidden="1" x14ac:dyDescent="0.25">
      <c r="L47" s="72"/>
    </row>
    <row r="48" spans="1:13" hidden="1" x14ac:dyDescent="0.25">
      <c r="L48" s="72"/>
    </row>
    <row r="49" spans="12:12" hidden="1" x14ac:dyDescent="0.25">
      <c r="L49" s="72"/>
    </row>
    <row r="50" spans="12:12" hidden="1" x14ac:dyDescent="0.25">
      <c r="L50" s="72"/>
    </row>
    <row r="51" spans="12:12" hidden="1" x14ac:dyDescent="0.25">
      <c r="L51" s="72"/>
    </row>
    <row r="52" spans="12:12" hidden="1" x14ac:dyDescent="0.25"/>
    <row r="53" spans="12:12" x14ac:dyDescent="0.25">
      <c r="L53" s="72"/>
    </row>
    <row r="54" spans="12:12" x14ac:dyDescent="0.25">
      <c r="L54" s="72"/>
    </row>
    <row r="55" spans="12:12" x14ac:dyDescent="0.25">
      <c r="L55" s="72"/>
    </row>
    <row r="56" spans="12:12" x14ac:dyDescent="0.25">
      <c r="L56" s="72"/>
    </row>
    <row r="57" spans="12:12" x14ac:dyDescent="0.25">
      <c r="L57" s="72"/>
    </row>
    <row r="58" spans="12:12" x14ac:dyDescent="0.25">
      <c r="L58" s="72"/>
    </row>
    <row r="59" spans="12:12" x14ac:dyDescent="0.25">
      <c r="L59" s="72"/>
    </row>
    <row r="60" spans="12:12" x14ac:dyDescent="0.25">
      <c r="L60" s="72"/>
    </row>
  </sheetData>
  <mergeCells count="3">
    <mergeCell ref="C34:G34"/>
    <mergeCell ref="I34:K34"/>
    <mergeCell ref="L34:M34"/>
  </mergeCells>
  <conditionalFormatting sqref="C14">
    <cfRule type="duplicateValues" dxfId="13" priority="4"/>
  </conditionalFormatting>
  <conditionalFormatting sqref="C15">
    <cfRule type="duplicateValues" dxfId="12" priority="5"/>
  </conditionalFormatting>
  <conditionalFormatting sqref="C34:F34">
    <cfRule type="duplicateValues" dxfId="11" priority="9"/>
  </conditionalFormatting>
  <conditionalFormatting sqref="C35:G35">
    <cfRule type="duplicateValues" dxfId="10" priority="10"/>
  </conditionalFormatting>
  <conditionalFormatting sqref="C36:G36">
    <cfRule type="duplicateValues" dxfId="9" priority="11"/>
  </conditionalFormatting>
  <conditionalFormatting sqref="D14">
    <cfRule type="duplicateValues" dxfId="8" priority="12"/>
  </conditionalFormatting>
  <conditionalFormatting sqref="D15">
    <cfRule type="duplicateValues" dxfId="7" priority="13"/>
  </conditionalFormatting>
  <conditionalFormatting sqref="E15">
    <cfRule type="duplicateValues" dxfId="6" priority="3"/>
  </conditionalFormatting>
  <conditionalFormatting sqref="E14:F14">
    <cfRule type="duplicateValues" dxfId="5" priority="1"/>
  </conditionalFormatting>
  <conditionalFormatting sqref="F15">
    <cfRule type="duplicateValues" dxfId="4" priority="2"/>
  </conditionalFormatting>
  <conditionalFormatting sqref="H14">
    <cfRule type="duplicateValues" dxfId="3" priority="14"/>
  </conditionalFormatting>
  <conditionalFormatting sqref="J35">
    <cfRule type="duplicateValues" dxfId="2" priority="7"/>
  </conditionalFormatting>
  <conditionalFormatting sqref="K35 I35">
    <cfRule type="duplicateValues" dxfId="1" priority="8"/>
  </conditionalFormatting>
  <conditionalFormatting sqref="L35:M35">
    <cfRule type="duplicateValues" dxfId="0" priority="6"/>
  </conditionalFormatting>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F86B6-C25D-43D6-99ED-D7813A8872DD}">
  <sheetPr>
    <tabColor theme="9" tint="-0.499984740745262"/>
  </sheetPr>
  <dimension ref="B1:I24"/>
  <sheetViews>
    <sheetView workbookViewId="0">
      <selection activeCell="B12" sqref="B12"/>
    </sheetView>
  </sheetViews>
  <sheetFormatPr defaultRowHeight="15" x14ac:dyDescent="0.25"/>
  <cols>
    <col min="2" max="2" width="22.140625" bestFit="1" customWidth="1"/>
    <col min="3" max="3" width="28.28515625" bestFit="1" customWidth="1"/>
    <col min="4" max="4" width="28.85546875" bestFit="1" customWidth="1"/>
    <col min="5" max="5" width="14.140625" bestFit="1" customWidth="1"/>
    <col min="6" max="6" width="9.7109375" bestFit="1" customWidth="1"/>
    <col min="8" max="8" width="31.7109375" customWidth="1"/>
  </cols>
  <sheetData>
    <row r="1" spans="2:9" ht="15.75" x14ac:dyDescent="0.25">
      <c r="B1" s="167" t="s">
        <v>800</v>
      </c>
      <c r="C1" s="361" t="s">
        <v>975</v>
      </c>
      <c r="D1" s="220" t="s">
        <v>976</v>
      </c>
      <c r="E1" s="91"/>
      <c r="F1" s="91"/>
      <c r="G1" s="91"/>
      <c r="H1" s="91"/>
      <c r="I1" s="91"/>
    </row>
    <row r="2" spans="2:9" x14ac:dyDescent="0.25">
      <c r="B2" s="157" t="s">
        <v>802</v>
      </c>
      <c r="C2" s="284" t="s">
        <v>977</v>
      </c>
      <c r="D2" s="91"/>
      <c r="E2" s="91"/>
      <c r="F2" s="91"/>
      <c r="G2" s="91"/>
      <c r="H2" s="91"/>
      <c r="I2" s="91"/>
    </row>
    <row r="3" spans="2:9" x14ac:dyDescent="0.25">
      <c r="B3" s="157" t="s">
        <v>803</v>
      </c>
      <c r="C3" s="166" t="s">
        <v>978</v>
      </c>
      <c r="D3" s="91"/>
      <c r="E3" s="91"/>
      <c r="F3" s="91"/>
      <c r="G3" s="91"/>
      <c r="H3" s="91"/>
      <c r="I3" s="91"/>
    </row>
    <row r="4" spans="2:9" x14ac:dyDescent="0.25">
      <c r="B4" s="157" t="s">
        <v>805</v>
      </c>
      <c r="C4" s="165" t="s">
        <v>979</v>
      </c>
      <c r="D4" s="91"/>
      <c r="E4" s="91"/>
      <c r="F4" s="91"/>
      <c r="G4" s="91"/>
      <c r="H4" s="91"/>
      <c r="I4" s="91"/>
    </row>
    <row r="5" spans="2:9" x14ac:dyDescent="0.25">
      <c r="B5" s="167" t="s">
        <v>806</v>
      </c>
      <c r="C5" s="90" t="s">
        <v>980</v>
      </c>
      <c r="D5" s="91"/>
      <c r="E5" s="91"/>
      <c r="F5" s="91"/>
      <c r="G5" s="91"/>
      <c r="H5" s="91"/>
      <c r="I5" s="91"/>
    </row>
    <row r="6" spans="2:9" x14ac:dyDescent="0.25">
      <c r="B6" s="157" t="s">
        <v>807</v>
      </c>
      <c r="C6" s="170"/>
      <c r="D6" s="91"/>
      <c r="E6" s="91"/>
      <c r="F6" s="91"/>
      <c r="G6" s="91"/>
      <c r="H6" s="91"/>
      <c r="I6" s="91"/>
    </row>
    <row r="7" spans="2:9" ht="17.25" x14ac:dyDescent="0.25">
      <c r="B7" s="164" t="s">
        <v>3</v>
      </c>
      <c r="C7" s="452" t="s">
        <v>42</v>
      </c>
      <c r="D7" s="452"/>
      <c r="E7" s="91"/>
      <c r="F7" s="91"/>
      <c r="G7" s="91"/>
      <c r="H7" s="91"/>
      <c r="I7" s="91"/>
    </row>
    <row r="8" spans="2:9" ht="17.25" x14ac:dyDescent="0.25">
      <c r="B8" s="164" t="s">
        <v>158</v>
      </c>
      <c r="C8" s="404" t="s">
        <v>45</v>
      </c>
      <c r="D8" s="404"/>
      <c r="E8" s="91"/>
      <c r="F8" s="91"/>
      <c r="G8" s="91"/>
      <c r="H8" s="91"/>
      <c r="I8" s="91"/>
    </row>
    <row r="9" spans="2:9" ht="17.25" x14ac:dyDescent="0.25">
      <c r="B9" s="164" t="s">
        <v>159</v>
      </c>
      <c r="C9" s="404" t="s">
        <v>199</v>
      </c>
      <c r="D9" s="404"/>
      <c r="E9" s="91"/>
      <c r="F9" s="91"/>
      <c r="G9" s="91"/>
      <c r="H9" s="91"/>
      <c r="I9" s="91"/>
    </row>
    <row r="10" spans="2:9" ht="17.25" x14ac:dyDescent="0.25">
      <c r="B10" s="164" t="s">
        <v>162</v>
      </c>
      <c r="C10" s="403" t="s">
        <v>981</v>
      </c>
      <c r="D10" s="403"/>
      <c r="E10" s="91"/>
      <c r="F10" s="91"/>
      <c r="G10" s="91"/>
      <c r="H10" s="91"/>
      <c r="I10" s="91"/>
    </row>
    <row r="11" spans="2:9" x14ac:dyDescent="0.25">
      <c r="B11" s="91"/>
      <c r="C11" s="91"/>
      <c r="D11" s="91"/>
      <c r="E11" s="91"/>
      <c r="F11" s="91"/>
      <c r="G11" s="91"/>
      <c r="H11" s="91"/>
      <c r="I11" s="91"/>
    </row>
    <row r="12" spans="2:9" x14ac:dyDescent="0.25">
      <c r="B12" s="6" t="s">
        <v>163</v>
      </c>
      <c r="C12" s="221" t="s">
        <v>164</v>
      </c>
      <c r="D12" s="357" t="s">
        <v>164</v>
      </c>
      <c r="E12" s="357" t="s">
        <v>164</v>
      </c>
      <c r="F12" s="357" t="s">
        <v>164</v>
      </c>
      <c r="G12" s="222"/>
      <c r="H12" s="223" t="s">
        <v>200</v>
      </c>
      <c r="I12" s="224"/>
    </row>
    <row r="13" spans="2:9" x14ac:dyDescent="0.25">
      <c r="B13" s="225" t="s">
        <v>982</v>
      </c>
      <c r="C13" s="225" t="s">
        <v>983</v>
      </c>
      <c r="D13" s="226" t="s">
        <v>983</v>
      </c>
      <c r="E13" s="356"/>
      <c r="F13" s="356"/>
      <c r="G13" s="91"/>
      <c r="H13" s="226" t="s">
        <v>984</v>
      </c>
      <c r="I13" s="91"/>
    </row>
    <row r="14" spans="2:9" x14ac:dyDescent="0.25">
      <c r="B14" s="160" t="s">
        <v>811</v>
      </c>
      <c r="C14" s="426" t="s">
        <v>815</v>
      </c>
      <c r="D14" s="426" t="s">
        <v>985</v>
      </c>
      <c r="E14" s="426" t="s">
        <v>821</v>
      </c>
      <c r="F14" s="426" t="s">
        <v>986</v>
      </c>
      <c r="G14" s="433"/>
      <c r="H14" s="464" t="s">
        <v>819</v>
      </c>
      <c r="I14" s="465"/>
    </row>
    <row r="15" spans="2:9" ht="45" x14ac:dyDescent="0.25">
      <c r="B15" s="161" t="s">
        <v>827</v>
      </c>
      <c r="C15" s="427"/>
      <c r="D15" s="427"/>
      <c r="E15" s="427"/>
      <c r="F15" s="427"/>
      <c r="G15" s="433"/>
      <c r="H15" s="432"/>
      <c r="I15" s="465"/>
    </row>
    <row r="16" spans="2:9" ht="30" x14ac:dyDescent="0.25">
      <c r="B16" s="93" t="s">
        <v>828</v>
      </c>
      <c r="C16" s="353" t="s">
        <v>401</v>
      </c>
      <c r="D16" s="353" t="s">
        <v>987</v>
      </c>
      <c r="E16" s="353" t="s">
        <v>988</v>
      </c>
      <c r="F16" s="353" t="s">
        <v>988</v>
      </c>
      <c r="G16" s="99"/>
      <c r="H16" s="276"/>
      <c r="I16" s="99"/>
    </row>
    <row r="17" spans="2:9" x14ac:dyDescent="0.25">
      <c r="B17" s="162" t="s">
        <v>171</v>
      </c>
      <c r="C17" s="436" t="s">
        <v>836</v>
      </c>
      <c r="D17" s="436" t="s">
        <v>836</v>
      </c>
      <c r="E17" s="436" t="s">
        <v>836</v>
      </c>
      <c r="F17" s="436" t="s">
        <v>836</v>
      </c>
      <c r="G17" s="434"/>
      <c r="H17" s="436" t="s">
        <v>836</v>
      </c>
      <c r="I17" s="453"/>
    </row>
    <row r="18" spans="2:9" ht="30" x14ac:dyDescent="0.25">
      <c r="B18" s="161" t="s">
        <v>837</v>
      </c>
      <c r="C18" s="437"/>
      <c r="D18" s="437"/>
      <c r="E18" s="437"/>
      <c r="F18" s="471"/>
      <c r="G18" s="434"/>
      <c r="H18" s="437"/>
      <c r="I18" s="453"/>
    </row>
    <row r="19" spans="2:9" x14ac:dyDescent="0.25">
      <c r="B19" s="162" t="s">
        <v>743</v>
      </c>
      <c r="C19" s="436" t="s">
        <v>240</v>
      </c>
      <c r="D19" s="436" t="s">
        <v>240</v>
      </c>
      <c r="E19" s="466" t="s">
        <v>240</v>
      </c>
      <c r="F19" s="468" t="s">
        <v>240</v>
      </c>
      <c r="G19" s="470"/>
      <c r="H19" s="436" t="s">
        <v>240</v>
      </c>
      <c r="I19" s="453"/>
    </row>
    <row r="20" spans="2:9" ht="60" x14ac:dyDescent="0.25">
      <c r="B20" s="161" t="s">
        <v>839</v>
      </c>
      <c r="C20" s="437"/>
      <c r="D20" s="437"/>
      <c r="E20" s="467"/>
      <c r="F20" s="469"/>
      <c r="G20" s="470"/>
      <c r="H20" s="437"/>
      <c r="I20" s="453"/>
    </row>
    <row r="21" spans="2:9" x14ac:dyDescent="0.25">
      <c r="B21" s="160" t="s">
        <v>744</v>
      </c>
      <c r="C21" s="436" t="s">
        <v>841</v>
      </c>
      <c r="D21" s="436" t="s">
        <v>841</v>
      </c>
      <c r="E21" s="466" t="s">
        <v>841</v>
      </c>
      <c r="F21" s="468" t="s">
        <v>841</v>
      </c>
      <c r="G21" s="470"/>
      <c r="H21" s="436" t="s">
        <v>841</v>
      </c>
      <c r="I21" s="453"/>
    </row>
    <row r="22" spans="2:9" ht="45" x14ac:dyDescent="0.25">
      <c r="B22" s="163" t="s">
        <v>842</v>
      </c>
      <c r="C22" s="437"/>
      <c r="D22" s="437"/>
      <c r="E22" s="467"/>
      <c r="F22" s="469"/>
      <c r="G22" s="470"/>
      <c r="H22" s="437"/>
      <c r="I22" s="453"/>
    </row>
    <row r="23" spans="2:9" x14ac:dyDescent="0.25">
      <c r="B23" s="93" t="s">
        <v>179</v>
      </c>
      <c r="C23" s="280"/>
      <c r="D23" s="331"/>
      <c r="E23" s="354"/>
      <c r="F23" s="355"/>
      <c r="G23" s="91"/>
      <c r="H23" s="276"/>
      <c r="I23" s="91"/>
    </row>
    <row r="24" spans="2:9" ht="45" x14ac:dyDescent="0.25">
      <c r="B24" s="93" t="s">
        <v>727</v>
      </c>
      <c r="C24" s="358" t="s">
        <v>989</v>
      </c>
      <c r="D24" s="359"/>
      <c r="E24" s="359"/>
      <c r="F24" s="360"/>
      <c r="G24" s="91"/>
      <c r="H24" s="333" t="s">
        <v>990</v>
      </c>
      <c r="I24" s="91"/>
    </row>
  </sheetData>
  <mergeCells count="32">
    <mergeCell ref="I21:I22"/>
    <mergeCell ref="C21:C22"/>
    <mergeCell ref="D21:D22"/>
    <mergeCell ref="E21:E22"/>
    <mergeCell ref="F21:F22"/>
    <mergeCell ref="G21:G22"/>
    <mergeCell ref="H21:H22"/>
    <mergeCell ref="H17:H18"/>
    <mergeCell ref="I17:I18"/>
    <mergeCell ref="C19:C20"/>
    <mergeCell ref="D19:D20"/>
    <mergeCell ref="E19:E20"/>
    <mergeCell ref="F19:F20"/>
    <mergeCell ref="G19:G20"/>
    <mergeCell ref="H19:H20"/>
    <mergeCell ref="I19:I20"/>
    <mergeCell ref="C17:C18"/>
    <mergeCell ref="D17:D18"/>
    <mergeCell ref="E17:E18"/>
    <mergeCell ref="F17:F18"/>
    <mergeCell ref="G17:G18"/>
    <mergeCell ref="E14:E15"/>
    <mergeCell ref="F14:F15"/>
    <mergeCell ref="G14:G15"/>
    <mergeCell ref="H14:H15"/>
    <mergeCell ref="I14:I15"/>
    <mergeCell ref="C7:D7"/>
    <mergeCell ref="C8:D8"/>
    <mergeCell ref="C9:D9"/>
    <mergeCell ref="C10:D10"/>
    <mergeCell ref="C14:C15"/>
    <mergeCell ref="D14:D15"/>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D049-6104-4395-82E0-30F416DB4C1D}">
  <sheetPr>
    <tabColor rgb="FFFF0000"/>
  </sheetPr>
  <dimension ref="A1:L24"/>
  <sheetViews>
    <sheetView zoomScaleNormal="100" workbookViewId="0">
      <selection activeCell="B7" sqref="B7:C7"/>
    </sheetView>
  </sheetViews>
  <sheetFormatPr defaultRowHeight="15" x14ac:dyDescent="0.25"/>
  <cols>
    <col min="1" max="1" width="19.7109375" bestFit="1" customWidth="1"/>
    <col min="2" max="2" width="32.7109375" customWidth="1"/>
    <col min="3" max="12" width="23" customWidth="1"/>
  </cols>
  <sheetData>
    <row r="1" spans="1:12" x14ac:dyDescent="0.25">
      <c r="A1" s="157" t="s">
        <v>800</v>
      </c>
      <c r="B1" s="158" t="s">
        <v>991</v>
      </c>
      <c r="C1" s="91"/>
      <c r="D1" s="91"/>
      <c r="E1" s="91"/>
      <c r="F1" s="91"/>
      <c r="G1" s="91"/>
      <c r="H1" s="91"/>
      <c r="I1" s="91"/>
      <c r="J1" s="91"/>
      <c r="K1" s="91"/>
      <c r="L1" s="91"/>
    </row>
    <row r="2" spans="1:12" x14ac:dyDescent="0.25">
      <c r="A2" s="157" t="s">
        <v>802</v>
      </c>
      <c r="B2" s="158" t="s">
        <v>977</v>
      </c>
      <c r="C2" s="91"/>
      <c r="D2" s="91"/>
      <c r="E2" s="91"/>
      <c r="F2" s="91"/>
      <c r="G2" s="91"/>
      <c r="H2" s="91"/>
      <c r="I2" s="91"/>
      <c r="J2" s="91"/>
      <c r="K2" s="91"/>
      <c r="L2" s="91"/>
    </row>
    <row r="3" spans="1:12" x14ac:dyDescent="0.25">
      <c r="A3" s="157" t="s">
        <v>803</v>
      </c>
      <c r="B3" s="166" t="s">
        <v>992</v>
      </c>
      <c r="C3" s="91"/>
      <c r="D3" s="91"/>
      <c r="E3" s="91"/>
      <c r="F3" s="91"/>
      <c r="G3" s="91"/>
      <c r="H3" s="91"/>
      <c r="I3" s="91"/>
      <c r="J3" s="91"/>
      <c r="K3" s="91"/>
      <c r="L3" s="91"/>
    </row>
    <row r="4" spans="1:12" x14ac:dyDescent="0.25">
      <c r="A4" s="157" t="s">
        <v>805</v>
      </c>
      <c r="B4" s="165" t="s">
        <v>993</v>
      </c>
      <c r="C4" s="91"/>
      <c r="D4" s="91"/>
      <c r="E4" s="91"/>
      <c r="F4" s="91"/>
      <c r="G4" s="91"/>
      <c r="H4" s="91"/>
      <c r="I4" s="91"/>
      <c r="J4" s="91"/>
      <c r="K4" s="91"/>
      <c r="L4" s="91"/>
    </row>
    <row r="5" spans="1:12" x14ac:dyDescent="0.25">
      <c r="A5" s="167" t="s">
        <v>806</v>
      </c>
      <c r="B5" s="90" t="s">
        <v>776</v>
      </c>
      <c r="C5" s="91" t="s">
        <v>994</v>
      </c>
      <c r="D5" s="91"/>
      <c r="E5" s="91"/>
      <c r="F5" s="91"/>
      <c r="G5" s="91"/>
      <c r="H5" s="91"/>
      <c r="I5" s="91"/>
      <c r="J5" s="91"/>
      <c r="K5" s="91"/>
      <c r="L5" s="91"/>
    </row>
    <row r="6" spans="1:12" x14ac:dyDescent="0.25">
      <c r="A6" s="157" t="s">
        <v>807</v>
      </c>
      <c r="B6" s="170" t="s">
        <v>995</v>
      </c>
      <c r="C6" s="91"/>
      <c r="D6" s="91"/>
      <c r="E6" s="91"/>
      <c r="F6" s="91"/>
      <c r="G6" s="91"/>
      <c r="H6" s="91"/>
      <c r="I6" s="91"/>
      <c r="J6" s="91"/>
      <c r="K6" s="91"/>
      <c r="L6" s="91"/>
    </row>
    <row r="7" spans="1:12" ht="17.25" x14ac:dyDescent="0.25">
      <c r="A7" s="164" t="s">
        <v>3</v>
      </c>
      <c r="B7" s="428" t="s">
        <v>144</v>
      </c>
      <c r="C7" s="428"/>
      <c r="D7" s="91"/>
      <c r="E7" s="91"/>
      <c r="F7" s="91"/>
      <c r="G7" s="91"/>
      <c r="H7" s="91"/>
      <c r="I7" s="91"/>
      <c r="J7" s="91"/>
      <c r="K7" s="91"/>
      <c r="L7" s="91"/>
    </row>
    <row r="8" spans="1:12" ht="17.25" x14ac:dyDescent="0.25">
      <c r="A8" s="164" t="s">
        <v>158</v>
      </c>
      <c r="B8" s="429" t="s">
        <v>144</v>
      </c>
      <c r="C8" s="429"/>
      <c r="D8" s="91"/>
      <c r="E8" s="91"/>
      <c r="F8" s="91"/>
      <c r="G8" s="91"/>
      <c r="H8" s="91"/>
      <c r="I8" s="91"/>
      <c r="J8" s="91"/>
      <c r="K8" s="91"/>
      <c r="L8" s="91"/>
    </row>
    <row r="9" spans="1:12" ht="17.25" x14ac:dyDescent="0.25">
      <c r="A9" s="164" t="s">
        <v>159</v>
      </c>
      <c r="B9" s="429" t="s">
        <v>199</v>
      </c>
      <c r="C9" s="429"/>
      <c r="D9" s="91"/>
      <c r="E9" s="91"/>
      <c r="F9" s="91"/>
      <c r="G9" s="91"/>
      <c r="H9" s="91"/>
      <c r="I9" s="91"/>
      <c r="J9" s="91"/>
      <c r="K9" s="91"/>
      <c r="L9" s="91"/>
    </row>
    <row r="10" spans="1:12" ht="66.75" customHeight="1" x14ac:dyDescent="0.25">
      <c r="A10" s="164" t="s">
        <v>162</v>
      </c>
      <c r="B10" s="430" t="s">
        <v>996</v>
      </c>
      <c r="C10" s="430"/>
      <c r="D10" s="91"/>
      <c r="E10" s="91"/>
      <c r="F10" s="91"/>
      <c r="G10" s="91"/>
      <c r="H10" s="91"/>
      <c r="I10" s="91"/>
      <c r="J10" s="91"/>
      <c r="K10" s="91"/>
      <c r="L10" s="91"/>
    </row>
    <row r="11" spans="1:12" x14ac:dyDescent="0.25">
      <c r="A11" s="91"/>
      <c r="B11" s="91"/>
      <c r="C11" s="91"/>
      <c r="D11" s="91"/>
      <c r="E11" s="91"/>
      <c r="F11" s="91"/>
      <c r="G11" s="91"/>
      <c r="H11" s="91"/>
      <c r="I11" s="91"/>
      <c r="J11" s="91"/>
      <c r="K11" s="91"/>
      <c r="L11" s="91"/>
    </row>
    <row r="12" spans="1:12" x14ac:dyDescent="0.25">
      <c r="A12" s="476" t="s">
        <v>378</v>
      </c>
      <c r="B12" s="477"/>
      <c r="C12" s="477"/>
      <c r="D12" s="477"/>
      <c r="E12" s="477"/>
      <c r="F12" s="477"/>
      <c r="G12" s="477"/>
      <c r="H12" s="91"/>
      <c r="I12" s="472" t="s">
        <v>379</v>
      </c>
      <c r="J12" s="473"/>
      <c r="K12" s="473"/>
      <c r="L12" s="473"/>
    </row>
    <row r="13" spans="1:12" x14ac:dyDescent="0.25">
      <c r="A13" s="160" t="s">
        <v>811</v>
      </c>
      <c r="B13" s="474" t="s">
        <v>997</v>
      </c>
      <c r="C13" s="474" t="s">
        <v>815</v>
      </c>
      <c r="D13" s="474" t="s">
        <v>985</v>
      </c>
      <c r="E13" s="474" t="s">
        <v>998</v>
      </c>
      <c r="F13" s="474" t="s">
        <v>821</v>
      </c>
      <c r="G13" s="474" t="s">
        <v>986</v>
      </c>
      <c r="H13" s="433"/>
      <c r="I13" s="480" t="s">
        <v>822</v>
      </c>
      <c r="J13" s="480" t="s">
        <v>823</v>
      </c>
      <c r="K13" s="480" t="s">
        <v>825</v>
      </c>
      <c r="L13" s="480" t="s">
        <v>819</v>
      </c>
    </row>
    <row r="14" spans="1:12" ht="45" x14ac:dyDescent="0.25">
      <c r="A14" s="161" t="s">
        <v>827</v>
      </c>
      <c r="B14" s="475"/>
      <c r="C14" s="475"/>
      <c r="D14" s="475"/>
      <c r="E14" s="475"/>
      <c r="F14" s="475"/>
      <c r="G14" s="475"/>
      <c r="H14" s="433"/>
      <c r="I14" s="481"/>
      <c r="J14" s="481"/>
      <c r="K14" s="481"/>
      <c r="L14" s="481"/>
    </row>
    <row r="15" spans="1:12" ht="30" x14ac:dyDescent="0.25">
      <c r="A15" s="93" t="s">
        <v>828</v>
      </c>
      <c r="B15" s="168" t="s">
        <v>988</v>
      </c>
      <c r="C15" s="169" t="s">
        <v>988</v>
      </c>
      <c r="D15" s="169" t="s">
        <v>999</v>
      </c>
      <c r="E15" s="169" t="s">
        <v>832</v>
      </c>
      <c r="F15" s="169" t="s">
        <v>988</v>
      </c>
      <c r="G15" s="169" t="s">
        <v>988</v>
      </c>
      <c r="H15" s="99"/>
      <c r="I15" s="92"/>
      <c r="J15" s="92"/>
      <c r="K15" s="92"/>
      <c r="L15" s="94"/>
    </row>
    <row r="16" spans="1:12" x14ac:dyDescent="0.25">
      <c r="A16" s="162" t="s">
        <v>171</v>
      </c>
      <c r="B16" s="478" t="s">
        <v>836</v>
      </c>
      <c r="C16" s="478" t="s">
        <v>836</v>
      </c>
      <c r="D16" s="478" t="s">
        <v>836</v>
      </c>
      <c r="E16" s="478" t="s">
        <v>836</v>
      </c>
      <c r="F16" s="478" t="s">
        <v>836</v>
      </c>
      <c r="G16" s="478" t="s">
        <v>836</v>
      </c>
      <c r="H16" s="434"/>
      <c r="I16" s="482" t="s">
        <v>836</v>
      </c>
      <c r="J16" s="478" t="s">
        <v>836</v>
      </c>
      <c r="K16" s="478" t="s">
        <v>836</v>
      </c>
      <c r="L16" s="478" t="s">
        <v>836</v>
      </c>
    </row>
    <row r="17" spans="1:12" ht="30" x14ac:dyDescent="0.25">
      <c r="A17" s="161" t="s">
        <v>837</v>
      </c>
      <c r="B17" s="479"/>
      <c r="C17" s="479"/>
      <c r="D17" s="479"/>
      <c r="E17" s="479"/>
      <c r="F17" s="479"/>
      <c r="G17" s="479"/>
      <c r="H17" s="434"/>
      <c r="I17" s="483"/>
      <c r="J17" s="479"/>
      <c r="K17" s="479"/>
      <c r="L17" s="479"/>
    </row>
    <row r="18" spans="1:12" x14ac:dyDescent="0.25">
      <c r="A18" s="162" t="s">
        <v>743</v>
      </c>
      <c r="B18" s="478" t="s">
        <v>240</v>
      </c>
      <c r="C18" s="478" t="s">
        <v>240</v>
      </c>
      <c r="D18" s="478" t="s">
        <v>240</v>
      </c>
      <c r="E18" s="478" t="s">
        <v>240</v>
      </c>
      <c r="F18" s="478" t="s">
        <v>240</v>
      </c>
      <c r="G18" s="478" t="s">
        <v>241</v>
      </c>
      <c r="H18" s="434"/>
      <c r="I18" s="482" t="s">
        <v>240</v>
      </c>
      <c r="J18" s="478" t="s">
        <v>240</v>
      </c>
      <c r="K18" s="478" t="s">
        <v>240</v>
      </c>
      <c r="L18" s="478" t="s">
        <v>240</v>
      </c>
    </row>
    <row r="19" spans="1:12" ht="60" x14ac:dyDescent="0.25">
      <c r="A19" s="161" t="s">
        <v>839</v>
      </c>
      <c r="B19" s="479"/>
      <c r="C19" s="479"/>
      <c r="D19" s="479"/>
      <c r="E19" s="479"/>
      <c r="F19" s="479"/>
      <c r="G19" s="479"/>
      <c r="H19" s="434"/>
      <c r="I19" s="483"/>
      <c r="J19" s="479"/>
      <c r="K19" s="479"/>
      <c r="L19" s="479"/>
    </row>
    <row r="20" spans="1:12" x14ac:dyDescent="0.25">
      <c r="A20" s="160" t="s">
        <v>744</v>
      </c>
      <c r="B20" s="478" t="s">
        <v>841</v>
      </c>
      <c r="C20" s="478" t="s">
        <v>841</v>
      </c>
      <c r="D20" s="478" t="s">
        <v>841</v>
      </c>
      <c r="E20" s="478" t="s">
        <v>841</v>
      </c>
      <c r="F20" s="478" t="s">
        <v>841</v>
      </c>
      <c r="G20" s="478" t="s">
        <v>1000</v>
      </c>
      <c r="H20" s="434"/>
      <c r="I20" s="482" t="s">
        <v>841</v>
      </c>
      <c r="J20" s="478" t="s">
        <v>841</v>
      </c>
      <c r="K20" s="478" t="s">
        <v>841</v>
      </c>
      <c r="L20" s="478" t="s">
        <v>841</v>
      </c>
    </row>
    <row r="21" spans="1:12" ht="60" x14ac:dyDescent="0.25">
      <c r="A21" s="163" t="s">
        <v>842</v>
      </c>
      <c r="B21" s="479"/>
      <c r="C21" s="479"/>
      <c r="D21" s="479"/>
      <c r="E21" s="479"/>
      <c r="F21" s="479"/>
      <c r="G21" s="479"/>
      <c r="H21" s="434"/>
      <c r="I21" s="483"/>
      <c r="J21" s="479"/>
      <c r="K21" s="479"/>
      <c r="L21" s="479"/>
    </row>
    <row r="22" spans="1:12" x14ac:dyDescent="0.25">
      <c r="A22" s="93" t="s">
        <v>179</v>
      </c>
      <c r="B22" s="90"/>
      <c r="C22" s="90"/>
      <c r="D22" s="90"/>
      <c r="E22" s="90"/>
      <c r="F22" s="90"/>
      <c r="G22" s="90"/>
      <c r="H22" s="91"/>
      <c r="I22" s="94"/>
      <c r="J22" s="94"/>
      <c r="K22" s="94"/>
      <c r="L22" s="94"/>
    </row>
    <row r="23" spans="1:12" ht="90" x14ac:dyDescent="0.25">
      <c r="A23" s="93" t="s">
        <v>727</v>
      </c>
      <c r="B23" s="94"/>
      <c r="C23" s="90"/>
      <c r="D23" s="90"/>
      <c r="E23" s="90" t="s">
        <v>989</v>
      </c>
      <c r="F23" s="90"/>
      <c r="G23" s="90"/>
      <c r="H23" s="91"/>
      <c r="I23" s="94" t="s">
        <v>1001</v>
      </c>
      <c r="J23" s="94">
        <v>0</v>
      </c>
      <c r="K23" s="94" t="s">
        <v>1002</v>
      </c>
      <c r="L23" s="94" t="s">
        <v>1003</v>
      </c>
    </row>
    <row r="24" spans="1:12" ht="120" x14ac:dyDescent="0.25">
      <c r="A24" s="93" t="s">
        <v>727</v>
      </c>
      <c r="B24" s="94"/>
      <c r="C24" s="90"/>
      <c r="D24" s="90"/>
      <c r="E24" s="90" t="s">
        <v>1004</v>
      </c>
      <c r="F24" s="90"/>
      <c r="G24" s="90"/>
      <c r="H24" s="91"/>
      <c r="I24" s="94" t="s">
        <v>1001</v>
      </c>
      <c r="J24" s="94" t="s">
        <v>1005</v>
      </c>
      <c r="K24" s="94" t="s">
        <v>1002</v>
      </c>
      <c r="L24" s="94" t="s">
        <v>1006</v>
      </c>
    </row>
  </sheetData>
  <mergeCells count="50">
    <mergeCell ref="G20:G21"/>
    <mergeCell ref="H20:H21"/>
    <mergeCell ref="I20:I21"/>
    <mergeCell ref="J20:J21"/>
    <mergeCell ref="K20:K21"/>
    <mergeCell ref="L20:L21"/>
    <mergeCell ref="H18:H19"/>
    <mergeCell ref="I18:I19"/>
    <mergeCell ref="J18:J19"/>
    <mergeCell ref="K18:K19"/>
    <mergeCell ref="L18:L19"/>
    <mergeCell ref="B20:B21"/>
    <mergeCell ref="C20:C21"/>
    <mergeCell ref="D20:D21"/>
    <mergeCell ref="E20:E21"/>
    <mergeCell ref="F20:F21"/>
    <mergeCell ref="B18:B19"/>
    <mergeCell ref="C18:C19"/>
    <mergeCell ref="D18:D19"/>
    <mergeCell ref="E18:E19"/>
    <mergeCell ref="F18:F19"/>
    <mergeCell ref="G18:G19"/>
    <mergeCell ref="G16:G17"/>
    <mergeCell ref="H16:H17"/>
    <mergeCell ref="I16:I17"/>
    <mergeCell ref="J16:J17"/>
    <mergeCell ref="K16:K17"/>
    <mergeCell ref="L16:L17"/>
    <mergeCell ref="H13:H14"/>
    <mergeCell ref="I13:I14"/>
    <mergeCell ref="J13:J14"/>
    <mergeCell ref="K13:K14"/>
    <mergeCell ref="L13:L14"/>
    <mergeCell ref="B16:B17"/>
    <mergeCell ref="C16:C17"/>
    <mergeCell ref="D16:D17"/>
    <mergeCell ref="E16:E17"/>
    <mergeCell ref="F16:F17"/>
    <mergeCell ref="I12:L12"/>
    <mergeCell ref="G13:G14"/>
    <mergeCell ref="B7:C7"/>
    <mergeCell ref="B8:C8"/>
    <mergeCell ref="B9:C9"/>
    <mergeCell ref="B10:C10"/>
    <mergeCell ref="A12:G12"/>
    <mergeCell ref="B13:B14"/>
    <mergeCell ref="C13:C14"/>
    <mergeCell ref="D13:D14"/>
    <mergeCell ref="E13:E14"/>
    <mergeCell ref="F13:F14"/>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15C0CA2473D4E4BAB1AEA7AC33BC6B3" ma:contentTypeVersion="8" ma:contentTypeDescription="Create a new document." ma:contentTypeScope="" ma:versionID="f064af32afcb7869b6fcf348cb846cec">
  <xsd:schema xmlns:xsd="http://www.w3.org/2001/XMLSchema" xmlns:xs="http://www.w3.org/2001/XMLSchema" xmlns:p="http://schemas.microsoft.com/office/2006/metadata/properties" xmlns:ns2="34254093-1fe5-461e-ba4f-fd156205a68f" targetNamespace="http://schemas.microsoft.com/office/2006/metadata/properties" ma:root="true" ma:fieldsID="da26a68c18c2d7d68641feb956547a4c" ns2:_="">
    <xsd:import namespace="34254093-1fe5-461e-ba4f-fd156205a68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4254093-1fe5-461e-ba4f-fd156205a68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ED8EF14-2B31-45F7-BA77-C8C8E3AFDD3F}">
  <ds:schemaRefs>
    <ds:schemaRef ds:uri="http://schemas.microsoft.com/sharepoint/v3/contenttype/forms"/>
  </ds:schemaRefs>
</ds:datastoreItem>
</file>

<file path=customXml/itemProps2.xml><?xml version="1.0" encoding="utf-8"?>
<ds:datastoreItem xmlns:ds="http://schemas.openxmlformats.org/officeDocument/2006/customXml" ds:itemID="{EAFA3D38-1C25-4BCD-93EC-FDA7C8F8EA53}"/>
</file>

<file path=customXml/itemProps3.xml><?xml version="1.0" encoding="utf-8"?>
<ds:datastoreItem xmlns:ds="http://schemas.openxmlformats.org/officeDocument/2006/customXml" ds:itemID="{ED772E0A-6708-420E-9258-99A3F02F39AB}">
  <ds:schemaRefs>
    <ds:schemaRef ds:uri="http://schemas.microsoft.com/office/2006/metadata/properties"/>
    <ds:schemaRef ds:uri="http://schemas.microsoft.com/office/infopath/2007/PartnerControls"/>
    <ds:schemaRef ds:uri="http://schemas.microsoft.com/sharepoint/v3"/>
    <ds:schemaRef ds:uri="2d57cf2f-e6dd-4042-9a9c-eee10effaef3"/>
    <ds:schemaRef ds:uri="303ccdc8-2bb0-442a-8f17-3fc613e49e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35</vt:i4>
      </vt:variant>
    </vt:vector>
  </HeadingPairs>
  <TitlesOfParts>
    <vt:vector size="35" baseType="lpstr">
      <vt:lpstr>Table Legend</vt:lpstr>
      <vt:lpstr>Rule Version History</vt:lpstr>
      <vt:lpstr>Event Acceptance</vt:lpstr>
      <vt:lpstr>Clearance Location</vt:lpstr>
      <vt:lpstr>Priority Score</vt:lpstr>
      <vt:lpstr>Workflow Task Type</vt:lpstr>
      <vt:lpstr>Evaluate IncoTerm</vt:lpstr>
      <vt:lpstr>Process Tags</vt:lpstr>
      <vt:lpstr>Value Tags</vt:lpstr>
      <vt:lpstr>Submission Tags</vt:lpstr>
      <vt:lpstr>Event Acceptance-TBD</vt:lpstr>
      <vt:lpstr>Evaluate Declaration Validation</vt:lpstr>
      <vt:lpstr>Check Manifest Data</vt:lpstr>
      <vt:lpstr>Movement Tags</vt:lpstr>
      <vt:lpstr>Workflow Declaration Summary</vt:lpstr>
      <vt:lpstr>Evaluate Submission Requirement</vt:lpstr>
      <vt:lpstr>Post Submission Clearance Statu</vt:lpstr>
      <vt:lpstr>Identify Sort Intercepts</vt:lpstr>
      <vt:lpstr>Rounding Config</vt:lpstr>
      <vt:lpstr>Commodity Tags</vt:lpstr>
      <vt:lpstr>Submission Sub Type</vt:lpstr>
      <vt:lpstr>Customer Contact Timer</vt:lpstr>
      <vt:lpstr>Post Submission System Update</vt:lpstr>
      <vt:lpstr>Identify Scan to Publish</vt:lpstr>
      <vt:lpstr>Evaluate Customs Obligation Fee</vt:lpstr>
      <vt:lpstr>Determine Duty &amp; Tax Overide</vt:lpstr>
      <vt:lpstr>Calculate Commodity Lines</vt:lpstr>
      <vt:lpstr>Identify Exception Actions</vt:lpstr>
      <vt:lpstr>Identify Exit Location</vt:lpstr>
      <vt:lpstr>Check Dec Time Limits</vt:lpstr>
      <vt:lpstr>Check Dec Clr Status</vt:lpstr>
      <vt:lpstr>Post Submission User Task</vt:lpstr>
      <vt:lpstr>Evaluate Declaration Readiness</vt:lpstr>
      <vt:lpstr>Calculate Insurance Header</vt:lpstr>
      <vt:lpstr>Calculate Insurance Header Inv</vt:lpstr>
    </vt:vector>
  </TitlesOfParts>
  <Manager/>
  <Company>FedEx</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Susan Rowland</dc:creator>
  <cp:keywords/>
  <dc:description/>
  <cp:lastModifiedBy>Susan Rowland</cp:lastModifiedBy>
  <cp:revision/>
  <dcterms:created xsi:type="dcterms:W3CDTF">2024-08-12T19:57:04Z</dcterms:created>
  <dcterms:modified xsi:type="dcterms:W3CDTF">2025-11-18T10:52:06Z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0x010100015C0CA2473D4E4BAB1AEA7AC33BC6B3</vt:lpwstr>
  </property>
  <property fmtid="{D5CDD505-2E9C-101B-9397-08002B2CF9AE}" pid="3" name="MediaServiceImageTags">
    <vt:lpwstr/>
  </property>
  <property fmtid="{D5CDD505-2E9C-101B-9397-08002B2CF9AE}" pid="4" name="ARB2Complete?">
    <vt:bool>true</vt:bool>
  </property>
  <property fmtid="{D5CDD505-2E9C-101B-9397-08002B2CF9AE}" pid="5" name="_SourceUrl">
    <vt:lpwstr/>
  </property>
  <property fmtid="{D5CDD505-2E9C-101B-9397-08002B2CF9AE}" pid="6" name="ComplianceAssetId">
    <vt:lpwstr/>
  </property>
  <property fmtid="{D5CDD505-2E9C-101B-9397-08002B2CF9AE}" pid="7" name="_ExtendedDescription">
    <vt:lpwstr/>
  </property>
  <property fmtid="{D5CDD505-2E9C-101B-9397-08002B2CF9AE}" pid="8" name="xd_Signature">
    <vt:bool>false</vt:bool>
  </property>
  <property fmtid="{D5CDD505-2E9C-101B-9397-08002B2CF9AE}" pid="9" name="ARB1Complete?">
    <vt:bool>true</vt:bool>
  </property>
  <property fmtid="{D5CDD505-2E9C-101B-9397-08002B2CF9AE}" pid="10" name="TriggerFlowInfo">
    <vt:lpwstr/>
  </property>
  <property fmtid="{D5CDD505-2E9C-101B-9397-08002B2CF9AE}" pid="11" name="xd_ProgID">
    <vt:lpwstr/>
  </property>
  <property fmtid="{D5CDD505-2E9C-101B-9397-08002B2CF9AE}" pid="12" name="_SharedFileIndex">
    <vt:lpwstr/>
  </property>
  <property fmtid="{D5CDD505-2E9C-101B-9397-08002B2CF9AE}" pid="13" name="TemplateUrl">
    <vt:lpwstr/>
  </property>
  <property fmtid="{D5CDD505-2E9C-101B-9397-08002B2CF9AE}" pid="14" name="Order">
    <vt:r8>40400</vt:r8>
  </property>
</Properties>
</file>