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https://myfedex.sharepoint.com/teams/GEMINIGlobalTeam/Shared Documents/General/GEMINI 2.0/Solution Intent Repository/GEMINI Events Processor/Events and Data Mapping/"/>
    </mc:Choice>
  </mc:AlternateContent>
  <xr:revisionPtr revIDLastSave="1382" documentId="13_ncr:1_{E922B52C-7852-4118-880C-A7C17347937F}" xr6:coauthVersionLast="47" xr6:coauthVersionMax="47" xr10:uidLastSave="{A00D9EC9-FF64-41E8-B425-FFE9C6032E44}"/>
  <bookViews>
    <workbookView xWindow="28680" yWindow="-120" windowWidth="29040" windowHeight="15720" tabRatio="783" xr2:uid="{285742FB-5BA7-4FD5-AB0B-5BA5776AB42A}"/>
  </bookViews>
  <sheets>
    <sheet name="Events Matrix" sheetId="9" r:id="rId1"/>
    <sheet name="EventAcceptanceRules.drl.xls" sheetId="14" r:id="rId2"/>
    <sheet name="Ownership and Timeline" sheetId="10" r:id="rId3"/>
    <sheet name="CurrentVolume" sheetId="11" r:id="rId4"/>
    <sheet name="Transaction_Volumetric" sheetId="7" r:id="rId5"/>
    <sheet name="Domain Event Rules" sheetId="12" r:id="rId6"/>
    <sheet name="VolSummary" sheetId="13" r:id="rId7"/>
    <sheet name="SEP_AsIs_Process" sheetId="5" r:id="rId8"/>
    <sheet name="Handling_SEP_Events" sheetId="3" r:id="rId9"/>
    <sheet name="ScanCodes" sheetId="6" r:id="rId10"/>
    <sheet name="Filtering " sheetId="8" r:id="rId11"/>
  </sheets>
  <definedNames>
    <definedName name="_xlnm._FilterDatabase" localSheetId="3" hidden="1">CurrentVolume!$D$1:$I$217</definedName>
    <definedName name="_xlnm._FilterDatabase" localSheetId="0" hidden="1">'Events Matrix'!$A$1:$AB$18</definedName>
    <definedName name="_xlnm._FilterDatabase" localSheetId="8" hidden="1">Handling_SEP_Events!$A$1:$K$52</definedName>
  </definedNames>
  <calcPr calcId="191028"/>
  <pivotCaches>
    <pivotCache cacheId="27" r:id="rId12"/>
    <pivotCache cacheId="28" r:id="rId1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5" i="13" l="1"/>
  <c r="L16" i="13"/>
  <c r="L17" i="13"/>
  <c r="L18" i="13"/>
  <c r="L14" i="13"/>
  <c r="K15" i="13"/>
  <c r="K16" i="13"/>
  <c r="K17" i="13"/>
  <c r="K18" i="13"/>
  <c r="K14" i="13"/>
  <c r="G5" i="7"/>
  <c r="J91" i="7"/>
  <c r="I91" i="7"/>
  <c r="J90" i="7"/>
  <c r="I90" i="7"/>
  <c r="L6" i="7"/>
  <c r="L7" i="7"/>
  <c r="L8" i="7"/>
  <c r="L9" i="7"/>
  <c r="L10" i="7"/>
  <c r="L11" i="7"/>
  <c r="L12" i="7"/>
  <c r="L13" i="7"/>
  <c r="L14" i="7"/>
  <c r="L15" i="7"/>
  <c r="L16" i="7"/>
  <c r="L17" i="7"/>
  <c r="L18" i="7"/>
  <c r="L19" i="7"/>
  <c r="L20" i="7"/>
  <c r="L21" i="7"/>
  <c r="L22" i="7"/>
  <c r="L23" i="7"/>
  <c r="L24" i="7"/>
  <c r="L25" i="7"/>
  <c r="L26" i="7"/>
  <c r="L27" i="7"/>
  <c r="L28" i="7"/>
  <c r="L29" i="7"/>
  <c r="L30" i="7"/>
  <c r="L31" i="7"/>
  <c r="L32" i="7"/>
  <c r="L33" i="7"/>
  <c r="L34" i="7"/>
  <c r="L35" i="7"/>
  <c r="L36" i="7"/>
  <c r="L37" i="7"/>
  <c r="L38" i="7"/>
  <c r="L39" i="7"/>
  <c r="L40" i="7"/>
  <c r="L41" i="7"/>
  <c r="L42" i="7"/>
  <c r="L43" i="7"/>
  <c r="L44" i="7"/>
  <c r="L45" i="7"/>
  <c r="L46" i="7"/>
  <c r="L47" i="7"/>
  <c r="L48" i="7"/>
  <c r="L49" i="7"/>
  <c r="L50" i="7"/>
  <c r="L51" i="7"/>
  <c r="L52" i="7"/>
  <c r="L53" i="7"/>
  <c r="L54" i="7"/>
  <c r="L55" i="7"/>
  <c r="L56" i="7"/>
  <c r="L57" i="7"/>
  <c r="L58" i="7"/>
  <c r="L59" i="7"/>
  <c r="L60" i="7"/>
  <c r="L61" i="7"/>
  <c r="L62" i="7"/>
  <c r="L63" i="7"/>
  <c r="L64" i="7"/>
  <c r="L65" i="7"/>
  <c r="L66" i="7"/>
  <c r="L67" i="7"/>
  <c r="L68" i="7"/>
  <c r="L69" i="7"/>
  <c r="L70" i="7"/>
  <c r="L71" i="7"/>
  <c r="L72" i="7"/>
  <c r="L73" i="7"/>
  <c r="L74" i="7"/>
  <c r="L75" i="7"/>
  <c r="L76" i="7"/>
  <c r="L77" i="7"/>
  <c r="L78" i="7"/>
  <c r="L79" i="7"/>
  <c r="L80" i="7"/>
  <c r="L81" i="7"/>
  <c r="L5" i="7"/>
  <c r="L82" i="7" s="1"/>
  <c r="C82" i="7"/>
  <c r="D82" i="7"/>
  <c r="E82" i="7"/>
  <c r="F82" i="7"/>
  <c r="G82" i="7"/>
  <c r="G6" i="7"/>
  <c r="G7" i="7"/>
  <c r="G8" i="7"/>
  <c r="G9" i="7"/>
  <c r="G10" i="7"/>
  <c r="G11"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G44" i="7"/>
  <c r="G45" i="7"/>
  <c r="G46" i="7"/>
  <c r="G47" i="7"/>
  <c r="G48" i="7"/>
  <c r="G49" i="7"/>
  <c r="G50" i="7"/>
  <c r="G51" i="7"/>
  <c r="G52" i="7"/>
  <c r="G53" i="7"/>
  <c r="G54" i="7"/>
  <c r="G55" i="7"/>
  <c r="G56" i="7"/>
  <c r="G57" i="7"/>
  <c r="G58" i="7"/>
  <c r="G59" i="7"/>
  <c r="G60" i="7"/>
  <c r="G61" i="7"/>
  <c r="G62" i="7"/>
  <c r="G63" i="7"/>
  <c r="G64" i="7"/>
  <c r="G65" i="7"/>
  <c r="G66" i="7"/>
  <c r="G67" i="7"/>
  <c r="G68" i="7"/>
  <c r="G69" i="7"/>
  <c r="G70" i="7"/>
  <c r="G71" i="7"/>
  <c r="G72" i="7"/>
  <c r="G73" i="7"/>
  <c r="G74" i="7"/>
  <c r="G75" i="7"/>
  <c r="G76" i="7"/>
  <c r="G77" i="7"/>
  <c r="G78" i="7"/>
  <c r="G79" i="7"/>
  <c r="G80" i="7"/>
  <c r="G81" i="7"/>
  <c r="F81" i="7"/>
  <c r="F80" i="7"/>
  <c r="F79" i="7"/>
  <c r="F78" i="7"/>
  <c r="F77" i="7"/>
  <c r="F76" i="7"/>
  <c r="F75" i="7"/>
  <c r="F74" i="7"/>
  <c r="F73" i="7"/>
  <c r="F72" i="7"/>
  <c r="F71" i="7"/>
  <c r="F70" i="7"/>
  <c r="F69" i="7"/>
  <c r="F68" i="7"/>
  <c r="F67" i="7"/>
  <c r="F66" i="7"/>
  <c r="F65" i="7"/>
  <c r="F64" i="7"/>
  <c r="F63" i="7"/>
  <c r="F62" i="7"/>
  <c r="F61" i="7"/>
  <c r="F60" i="7"/>
  <c r="F59" i="7"/>
  <c r="F58" i="7"/>
  <c r="F57" i="7"/>
  <c r="F56" i="7"/>
  <c r="F55" i="7"/>
  <c r="F54" i="7"/>
  <c r="F53" i="7"/>
  <c r="F52" i="7"/>
  <c r="F51" i="7"/>
  <c r="F50" i="7"/>
  <c r="F49" i="7"/>
  <c r="F48" i="7"/>
  <c r="F47" i="7"/>
  <c r="F46" i="7"/>
  <c r="F45" i="7"/>
  <c r="F44" i="7"/>
  <c r="F43" i="7"/>
  <c r="F42" i="7"/>
  <c r="F41" i="7"/>
  <c r="F40" i="7"/>
  <c r="F39" i="7"/>
  <c r="F38" i="7"/>
  <c r="F37" i="7"/>
  <c r="F36" i="7"/>
  <c r="F35" i="7"/>
  <c r="F34" i="7"/>
  <c r="F33" i="7"/>
  <c r="F32" i="7"/>
  <c r="F31" i="7"/>
  <c r="F30" i="7"/>
  <c r="F29" i="7"/>
  <c r="F28" i="7"/>
  <c r="F27" i="7"/>
  <c r="F26" i="7"/>
  <c r="F25" i="7"/>
  <c r="F24" i="7"/>
  <c r="F23" i="7"/>
  <c r="F22" i="7"/>
  <c r="F21" i="7"/>
  <c r="F20" i="7"/>
  <c r="F19" i="7"/>
  <c r="F18" i="7"/>
  <c r="F17" i="7"/>
  <c r="F16" i="7"/>
  <c r="F15" i="7"/>
  <c r="F14" i="7"/>
  <c r="F13" i="7"/>
  <c r="F12" i="7"/>
  <c r="F11" i="7"/>
  <c r="F10" i="7"/>
  <c r="F9" i="7"/>
  <c r="F8" i="7"/>
  <c r="F7" i="7"/>
  <c r="F6" i="7"/>
  <c r="F5" i="7"/>
  <c r="C6" i="13"/>
  <c r="C5" i="13"/>
  <c r="C4" i="13"/>
  <c r="C8" i="13"/>
  <c r="C7" i="13"/>
  <c r="E7" i="13" l="1"/>
  <c r="E8" i="13"/>
  <c r="E5" i="13"/>
  <c r="E6" i="13"/>
  <c r="E4" i="13"/>
  <c r="C9" i="13"/>
  <c r="E9" i="1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Ryan Laurence Pesigan</author>
  </authors>
  <commentList>
    <comment ref="G1" authorId="0" shapeId="0" xr:uid="{06C26EA8-9663-4813-A5A3-EFEBF8C9A4B5}">
      <text>
        <r>
          <rPr>
            <sz val="11"/>
            <color theme="1"/>
            <rFont val="Calibri"/>
            <family val="2"/>
            <scheme val="minor"/>
          </rPr>
          <t>Ryan Laurence Pesigan:
In GEMINI 1.0 for APAC, we don't filter out the source system. But for EU, they are filtering out source system from GENCOM, CIS-ITIH and GENESIS for CE events.</t>
        </r>
      </text>
    </comment>
    <comment ref="I7" authorId="0" shapeId="0" xr:uid="{876A6C06-155D-4E57-AC3C-6A6E703E9F4B}">
      <text>
        <r>
          <rPr>
            <sz val="11"/>
            <color theme="1"/>
            <rFont val="Calibri"/>
            <family val="2"/>
            <scheme val="minor"/>
          </rPr>
          <t>Ryan Laurence Pesigan:
Need a delete / purge flag field in shipment info table (SHP_INFO)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tc={5CF8C769-FBCA-4F0F-BF3F-7F48CE790892}</author>
  </authors>
  <commentList>
    <comment ref="G12" authorId="0" shapeId="0" xr:uid="{5CF8C769-FBCA-4F0F-BF3F-7F48CE790892}">
      <text>
        <t>[Threaded comment]
Your version of Excel allows you to read this threaded comment; however, any edits to it will get removed if the file is opened in a newer version of Excel. Learn more: https://go.microsoft.com/fwlink/?linkid=870924
Comment:
    @Praveen Moothakurambu (OSV) based on the existing logic from CE event consumer service, this event is not processed. The event will only be saved in the events DB table.
Reply:
    @Ryan Laurence Pesigan - I thought  the xml message gets converted to Shipment json and save even in case of CE consumer, is that not correct ?  Basically, you are doing a UPSERT of basic shipment details on various CE events
Reply:
    @Praveen Moothakurambu (OSV) yes that is correct for most of the track types but for track type 74, it only saves the converted XML message into ShipmentEvent json into the DB. This means the shipment details from the track type 74 event are never updated to the Shipment.</t>
      </text>
    </comment>
  </commentList>
</comments>
</file>

<file path=xl/sharedStrings.xml><?xml version="1.0" encoding="utf-8"?>
<sst xmlns="http://schemas.openxmlformats.org/spreadsheetml/2006/main" count="2447" uniqueCount="656">
  <si>
    <t>#</t>
  </si>
  <si>
    <t>Event Type</t>
  </si>
  <si>
    <t>Track Type</t>
  </si>
  <si>
    <t>Track Exception Code</t>
  </si>
  <si>
    <t>Event Source</t>
  </si>
  <si>
    <t>Origin Country Code</t>
  </si>
  <si>
    <t>Source System</t>
  </si>
  <si>
    <t>Priority</t>
  </si>
  <si>
    <t>Shipment</t>
  </si>
  <si>
    <t>Planned
Itinerary</t>
  </si>
  <si>
    <t>Documents</t>
  </si>
  <si>
    <t>Amounts</t>
  </si>
  <si>
    <t>Values</t>
  </si>
  <si>
    <t>Location</t>
  </si>
  <si>
    <t>Party</t>
  </si>
  <si>
    <t>Shipment Unit</t>
  </si>
  <si>
    <t>Actual
Itinerary</t>
  </si>
  <si>
    <t>Scans</t>
  </si>
  <si>
    <t>Dimension</t>
  </si>
  <si>
    <t>Commodity</t>
  </si>
  <si>
    <t>Dangerous
Goods</t>
  </si>
  <si>
    <t>CLRNC_INFO_HDR</t>
  </si>
  <si>
    <t>CLRNC_INFO_SHPMT</t>
  </si>
  <si>
    <t>CLRNC_INFO_PIECE</t>
  </si>
  <si>
    <t>TRANS_NOTIF_INFO</t>
  </si>
  <si>
    <t>TRANS_NOTIF_SHPMT</t>
  </si>
  <si>
    <t>TRANS_NOTIF_PIECE</t>
  </si>
  <si>
    <t>Remarks</t>
  </si>
  <si>
    <t> </t>
  </si>
  <si>
    <t>Contract</t>
  </si>
  <si>
    <t>CE</t>
  </si>
  <si>
    <t>-</t>
  </si>
  <si>
    <t>SEP</t>
  </si>
  <si>
    <t>GENCOM
CIS-ITIH
GENESIS</t>
  </si>
  <si>
    <t>NO</t>
  </si>
  <si>
    <t>Ignore any CE Events from any of this sources. This is EU implemetation.</t>
  </si>
  <si>
    <t>ISDC/ITIH</t>
  </si>
  <si>
    <t>YES</t>
  </si>
  <si>
    <t>RE</t>
  </si>
  <si>
    <t>SSP</t>
  </si>
  <si>
    <t>Document</t>
  </si>
  <si>
    <t>DC</t>
  </si>
  <si>
    <t>EDM-GSDR
GENESIS</t>
  </si>
  <si>
    <t>GEMINI don’t store DC event anywhere as only APAC uses them for downloading documents</t>
  </si>
  <si>
    <t>Manifest (MDE1)</t>
  </si>
  <si>
    <t>If shipment is not yet created, it will add all required shipment domain information.</t>
  </si>
  <si>
    <t>Manifest (MDE2)</t>
  </si>
  <si>
    <t>Shipment will not be deleted physically from the database, a separate flag will be available to indicate shipment has been deleted.</t>
  </si>
  <si>
    <t>Manifest (MDE3)</t>
  </si>
  <si>
    <t>Manifest (MDE4)</t>
  </si>
  <si>
    <t>Manifest</t>
  </si>
  <si>
    <t>In GEMINI 1.0 this event is not processed (shipment is not updated), we only save the MDE event. For GEMINI 2.0 we will update the shipment description.</t>
  </si>
  <si>
    <t>Movement</t>
  </si>
  <si>
    <t>07</t>
  </si>
  <si>
    <t>14, 52, 55, 56, 60, 65, 66, 67, 70, 71, 72, 74, 77</t>
  </si>
  <si>
    <t>Shipment Data is updated based on the track type level which can be Master or Piece.</t>
  </si>
  <si>
    <t>29</t>
  </si>
  <si>
    <t>16, 17, 23, 24, 26, 46, 47, 50, 79, 81, 86, 95</t>
  </si>
  <si>
    <t>31</t>
  </si>
  <si>
    <t>83</t>
  </si>
  <si>
    <t>01, 02, 08, 10, 11, 12, 13, 22, 24, 42, AL, AR</t>
  </si>
  <si>
    <t>14</t>
  </si>
  <si>
    <t>14 is DCONS - Dconsolidation, telling us to "remove" the CONS from the shipment attributes</t>
  </si>
  <si>
    <t>32</t>
  </si>
  <si>
    <t>82, 83</t>
  </si>
  <si>
    <t>For REX scans to capture the actual weight changes</t>
  </si>
  <si>
    <t>79</t>
  </si>
  <si>
    <t>ECCO</t>
  </si>
  <si>
    <t>Need help from SMEs to fill in marking which domain entities will be updated after receiving this event</t>
  </si>
  <si>
    <t>IMWP (Itineary Management WayPoint)</t>
  </si>
  <si>
    <r>
      <rPr>
        <sz val="8"/>
        <color rgb="FFFF0000"/>
        <rFont val="Calibri"/>
      </rPr>
      <t>Need help from SMEs to fill in marking which domain entities will be updated after receiving this event</t>
    </r>
    <r>
      <rPr>
        <b/>
        <sz val="8"/>
        <color rgb="FFFF0000"/>
        <rFont val="Calibri"/>
      </rPr>
      <t xml:space="preserve">**, cooment scans have a specific text/keywords which sometimes has paaterns, it could be filtered out by the  source.system name and  location ID
</t>
    </r>
    <r>
      <rPr>
        <b/>
        <sz val="8"/>
        <color rgb="FF4472C4"/>
        <rFont val="Calibri"/>
      </rPr>
      <t xml:space="preserve">
</t>
    </r>
    <r>
      <rPr>
        <b/>
        <sz val="8"/>
        <color rgb="FFFF0000"/>
        <rFont val="Calibri"/>
      </rPr>
      <t>[2024-12-05] COMM 90 is disabled for now for CR rollout</t>
    </r>
  </si>
  <si>
    <t>Clearance Event</t>
  </si>
  <si>
    <t>CIE</t>
  </si>
  <si>
    <t>CIMEU</t>
  </si>
  <si>
    <t>GENIUS</t>
  </si>
  <si>
    <t>This will cover the CIE Consumer to setup consuming the ICS (Safety &amp; Security data) and store it in the declaration details</t>
  </si>
  <si>
    <t>NCTS</t>
  </si>
  <si>
    <t>GITR</t>
  </si>
  <si>
    <t>This will cover the GITR Notification Consumer to setup consuming the GITR details.</t>
  </si>
  <si>
    <t>**</t>
  </si>
  <si>
    <t xml:space="preserve"> pattern based</t>
  </si>
  <si>
    <t>RuleSet</t>
  </si>
  <si>
    <t>com.gep.rules.event</t>
  </si>
  <si>
    <t>Import</t>
  </si>
  <si>
    <t>com.fedex.gemini.gep.consumer.rules.model.SEPEvent</t>
  </si>
  <si>
    <t>RuleTable ContractEventAcceptanceRules</t>
  </si>
  <si>
    <t>DESCRIPTION</t>
  </si>
  <si>
    <t>CONDITION</t>
  </si>
  <si>
    <t>ACTION</t>
  </si>
  <si>
    <t>event:SEPEvent</t>
  </si>
  <si>
    <t>forall(||){trackTypeCode==$}</t>
  </si>
  <si>
    <t>(originCountryCode!=destCountryCode)</t>
  </si>
  <si>
    <t>eventSrcApp!=$param</t>
  </si>
  <si>
    <t>forall(||){destCountryCode==$}</t>
  </si>
  <si>
    <t>event.setRuleStatus($param);</t>
  </si>
  <si>
    <t>Is Non Domestic ?</t>
  </si>
  <si>
    <t>Event Source Application</t>
  </si>
  <si>
    <t>Destination Country Code</t>
  </si>
  <si>
    <t xml:space="preserve">  Validation Flag</t>
  </si>
  <si>
    <t>contract event</t>
  </si>
  <si>
    <t>"CE","RE","70","71","72","73","74"</t>
  </si>
  <si>
    <t>"NL", "FR", "BE", "US"</t>
  </si>
  <si>
    <t>"GB"</t>
  </si>
  <si>
    <t>"GENCOM"</t>
  </si>
  <si>
    <t>"NL", "FR", "BE","LU"</t>
  </si>
  <si>
    <t>"SG","AU","NZ","CN","JP"</t>
  </si>
  <si>
    <t>"DC"</t>
  </si>
  <si>
    <t>RuleTable ScanEventAcceptanceRules</t>
  </si>
  <si>
    <t xml:space="preserve">(originCountryCode!=destCountryCode) </t>
  </si>
  <si>
    <t>consCategory==$param</t>
  </si>
  <si>
    <t>forall(||){exceptionCode==$}</t>
  </si>
  <si>
    <t>cons category check</t>
  </si>
  <si>
    <t>Destination Country Codes</t>
  </si>
  <si>
    <t>Exception track code</t>
  </si>
  <si>
    <t>scan event</t>
  </si>
  <si>
    <t>"07"</t>
  </si>
  <si>
    <t>"NL","BE","FR","US","SG", "CN", "AU", "JP","NZ"</t>
  </si>
  <si>
    <t>14,52,55,56,60,65,66,67,70,71,72,74,77</t>
  </si>
  <si>
    <t>"29"</t>
  </si>
  <si>
    <t>16,17,23,24,26,46,47,50,79,81, 86,95</t>
  </si>
  <si>
    <t>"31"</t>
  </si>
  <si>
    <t>"01","02","10","11","13","22","24","42","AL","AR"</t>
  </si>
  <si>
    <t>"12"</t>
  </si>
  <si>
    <t>"V"</t>
  </si>
  <si>
    <t>"08","12","32"</t>
  </si>
  <si>
    <t>"SG", "CN", "AU", "JP","NZ"</t>
  </si>
  <si>
    <t>"79", "90"</t>
  </si>
  <si>
    <t>Sl.No</t>
  </si>
  <si>
    <t>Task</t>
  </si>
  <si>
    <t>Artifact</t>
  </si>
  <si>
    <t>Author</t>
  </si>
  <si>
    <t>Reviewer</t>
  </si>
  <si>
    <t>Owner</t>
  </si>
  <si>
    <t>ETC</t>
  </si>
  <si>
    <t>Comments</t>
  </si>
  <si>
    <t>Event Matrix for all required Track Type, Exception Code - for SEP</t>
  </si>
  <si>
    <t>Event Matrix Spreadsheet</t>
  </si>
  <si>
    <t>Ryan</t>
  </si>
  <si>
    <t>SMEs</t>
  </si>
  <si>
    <t>Bryan</t>
  </si>
  <si>
    <r>
      <rPr>
        <b/>
        <sz val="10"/>
        <color rgb="FF000000"/>
        <rFont val="Arial"/>
        <family val="2"/>
      </rPr>
      <t>Tim/Bryan</t>
    </r>
    <r>
      <rPr>
        <sz val="10"/>
        <color rgb="FF000000"/>
        <rFont val="Arial"/>
        <family val="2"/>
      </rPr>
      <t xml:space="preserve"> - We believe the Event Matrix captures all the scans/events needed for import, export &amp; transit clearance with the exception of COMM (90) &amp; ECCO (79).  Han Khoong shared that the comments scans (90) are used in some export locations for automation purposes.  We realize there a lot of these comment scans which the GEP would need to have specific rules to extract just the information needed.  
Bryan &amp; I request that ECCO (79) be added.  US operations use these events for single informal shipments, cage data &amp; opening traces.  Specifically, we need to know when the shipment is in the final clearance area (no regulatory delay).</t>
    </r>
  </si>
  <si>
    <t>Confirmation on using source application (SDSM, ITIH etc.) in Event Matrix.</t>
  </si>
  <si>
    <r>
      <rPr>
        <b/>
        <sz val="10"/>
        <color rgb="FF000000"/>
        <rFont val="Arial"/>
        <family val="2"/>
      </rPr>
      <t>Tim/Bryan</t>
    </r>
    <r>
      <rPr>
        <sz val="10"/>
        <color rgb="FF000000"/>
        <rFont val="Arial"/>
        <family val="2"/>
      </rPr>
      <t xml:space="preserve"> - Confirmation on using source application in the Event Matrix, may be better suited for data architects to review.  Also, from the business perspective, we believe the source applications currently used in GEMINI 1.0 should not change very much for 2.0.</t>
    </r>
  </si>
  <si>
    <t>Do we have to consider Source Application it? Potential chance of overriding data from a good source with a bad source.</t>
  </si>
  <si>
    <t>Confirmation of Acceptance Rules for SEP, needed a review and finalization of decision table.</t>
  </si>
  <si>
    <t>EventAcceptance.drl.xsl</t>
  </si>
  <si>
    <r>
      <rPr>
        <b/>
        <sz val="10"/>
        <color rgb="FF000000"/>
        <rFont val="Arial"/>
        <family val="2"/>
      </rPr>
      <t>Tim/Bryan</t>
    </r>
    <r>
      <rPr>
        <sz val="10"/>
        <color rgb="FF000000"/>
        <rFont val="Arial"/>
        <family val="2"/>
      </rPr>
      <t xml:space="preserve"> - as mentioned above, we suggest adding ECCO (79).</t>
    </r>
  </si>
  <si>
    <t>For instance, status code 90 COMM is not currently included but seems it is used at some region</t>
  </si>
  <si>
    <t>(decision table spreadsheet)</t>
  </si>
  <si>
    <t>Volumetric details of Transactions - historic data</t>
  </si>
  <si>
    <t>Product Managers</t>
  </si>
  <si>
    <t>Raj</t>
  </si>
  <si>
    <r>
      <rPr>
        <b/>
        <sz val="10"/>
        <color rgb="FF000000"/>
        <rFont val="Arial"/>
        <family val="2"/>
      </rPr>
      <t>Tim</t>
    </r>
    <r>
      <rPr>
        <sz val="10"/>
        <color rgb="FF000000"/>
        <rFont val="Arial"/>
        <family val="2"/>
      </rPr>
      <t xml:space="preserve"> - Volumetric details of transactions – historic data.  We are working with a team to provide this information.  Estimated completion date for this task is COB 1/30/2024.</t>
    </r>
  </si>
  <si>
    <t>Data Mapping – a mapping specification for each child entity/attributes of Shipment Model for SEP</t>
  </si>
  <si>
    <t>Data Mapping Sheet for SEP</t>
  </si>
  <si>
    <t>Test Data that reflect Shipment Life Cycle (all events for a set shipment) - From SEP</t>
  </si>
  <si>
    <t>Sample xml files to use with test suite</t>
  </si>
  <si>
    <t>CURRENT VOLUMES</t>
  </si>
  <si>
    <t>FY</t>
  </si>
  <si>
    <t>Region</t>
  </si>
  <si>
    <t>Country</t>
  </si>
  <si>
    <t>OpCo 
(optional)</t>
  </si>
  <si>
    <t>Process</t>
  </si>
  <si>
    <t>Volume</t>
  </si>
  <si>
    <t>NOTES:</t>
  </si>
  <si>
    <t>FY23</t>
  </si>
  <si>
    <t>EU</t>
  </si>
  <si>
    <t>AT</t>
  </si>
  <si>
    <t>FD</t>
  </si>
  <si>
    <t>Sum of Volume By Process By Region</t>
  </si>
  <si>
    <t>-  Shipment Level</t>
  </si>
  <si>
    <t>BE</t>
  </si>
  <si>
    <t>Export</t>
  </si>
  <si>
    <t>Total</t>
  </si>
  <si>
    <t>- Dutiable Volume</t>
  </si>
  <si>
    <t>BG</t>
  </si>
  <si>
    <t>AMEA</t>
  </si>
  <si>
    <t>- Shipmets/year</t>
  </si>
  <si>
    <t>CH</t>
  </si>
  <si>
    <t>CA</t>
  </si>
  <si>
    <t>- Transit vol. not considered</t>
  </si>
  <si>
    <t>CY</t>
  </si>
  <si>
    <t>CZ</t>
  </si>
  <si>
    <t>LAC</t>
  </si>
  <si>
    <t>DE</t>
  </si>
  <si>
    <t>US</t>
  </si>
  <si>
    <t>DK</t>
  </si>
  <si>
    <t>EE</t>
  </si>
  <si>
    <t>ES</t>
  </si>
  <si>
    <t>FI</t>
  </si>
  <si>
    <t>FR</t>
  </si>
  <si>
    <t>UK</t>
  </si>
  <si>
    <t>GR</t>
  </si>
  <si>
    <t>HU</t>
  </si>
  <si>
    <t>IE</t>
  </si>
  <si>
    <t>IL</t>
  </si>
  <si>
    <t>IT</t>
  </si>
  <si>
    <t>LT</t>
  </si>
  <si>
    <t>LU</t>
  </si>
  <si>
    <t>LV</t>
  </si>
  <si>
    <t>NL</t>
  </si>
  <si>
    <t>PL</t>
  </si>
  <si>
    <t>PT</t>
  </si>
  <si>
    <t>RO</t>
  </si>
  <si>
    <t>SE</t>
  </si>
  <si>
    <t>SI</t>
  </si>
  <si>
    <t>SK</t>
  </si>
  <si>
    <t>TR</t>
  </si>
  <si>
    <t>FY22</t>
  </si>
  <si>
    <t>UA</t>
  </si>
  <si>
    <t>TN</t>
  </si>
  <si>
    <t>MX</t>
  </si>
  <si>
    <t>BR</t>
  </si>
  <si>
    <t>AR</t>
  </si>
  <si>
    <t>CL</t>
  </si>
  <si>
    <t>CO</t>
  </si>
  <si>
    <t>DO</t>
  </si>
  <si>
    <t>CR</t>
  </si>
  <si>
    <t>JM</t>
  </si>
  <si>
    <t>TT</t>
  </si>
  <si>
    <t>PA</t>
  </si>
  <si>
    <t>BB</t>
  </si>
  <si>
    <t>GT</t>
  </si>
  <si>
    <t>KY</t>
  </si>
  <si>
    <t>BS</t>
  </si>
  <si>
    <t>CW</t>
  </si>
  <si>
    <t>AW</t>
  </si>
  <si>
    <t>LC</t>
  </si>
  <si>
    <t>MQ</t>
  </si>
  <si>
    <t>TC</t>
  </si>
  <si>
    <t>VI</t>
  </si>
  <si>
    <t>GP</t>
  </si>
  <si>
    <t>GD</t>
  </si>
  <si>
    <t>UY</t>
  </si>
  <si>
    <t>BM</t>
  </si>
  <si>
    <t>VG</t>
  </si>
  <si>
    <t>KN</t>
  </si>
  <si>
    <t>SX</t>
  </si>
  <si>
    <t>VC</t>
  </si>
  <si>
    <t>FY21</t>
  </si>
  <si>
    <t>SG</t>
  </si>
  <si>
    <t>NZ</t>
  </si>
  <si>
    <t>TH</t>
  </si>
  <si>
    <t>MY</t>
  </si>
  <si>
    <t>TW</t>
  </si>
  <si>
    <t>CN</t>
  </si>
  <si>
    <t>AU</t>
  </si>
  <si>
    <t>JP</t>
  </si>
  <si>
    <t>HK</t>
  </si>
  <si>
    <t>KR</t>
  </si>
  <si>
    <t>ID</t>
  </si>
  <si>
    <t>IN</t>
  </si>
  <si>
    <t>AE</t>
  </si>
  <si>
    <t>ZA</t>
  </si>
  <si>
    <t>VN</t>
  </si>
  <si>
    <t>PH</t>
  </si>
  <si>
    <t xml:space="preserve">SEP Events per Shipment </t>
  </si>
  <si>
    <t>Average Daily Volume 
(No.of Shipments Cleared)</t>
  </si>
  <si>
    <t>Peak Daily Volume
(No.of Shipments Cleared)</t>
  </si>
  <si>
    <t>Total Events (ADV)/ Day
No.Shipment X Events/Shipment</t>
  </si>
  <si>
    <t>Expected
TSP</t>
  </si>
  <si>
    <t>Export/Year</t>
  </si>
  <si>
    <t>Import/Year</t>
  </si>
  <si>
    <t>Transit/Year</t>
  </si>
  <si>
    <t>Total/Year</t>
  </si>
  <si>
    <t>ADV</t>
  </si>
  <si>
    <t>Transit</t>
  </si>
  <si>
    <t>total daily shipments</t>
  </si>
  <si>
    <t>Size ( 1 MB per shipment)</t>
  </si>
  <si>
    <t>GB</t>
  </si>
  <si>
    <t>250 KB</t>
  </si>
  <si>
    <t>Event Generation Type</t>
  </si>
  <si>
    <t>Event_Code</t>
  </si>
  <si>
    <t>Trigger Rules</t>
  </si>
  <si>
    <t>Details</t>
  </si>
  <si>
    <t>New Shipment</t>
  </si>
  <si>
    <t>NEW_SHP</t>
  </si>
  <si>
    <t>first Pick-up scan event is received.</t>
  </si>
  <si>
    <t>in the Database for the shipment atleast one movement scan exists including the current events</t>
  </si>
  <si>
    <t>Route Update</t>
  </si>
  <si>
    <t>ROUTE_UPD</t>
  </si>
  <si>
    <t>Header Info Update (Value, Weigh etc)</t>
  </si>
  <si>
    <t>SHP_ATTR_UPD</t>
  </si>
  <si>
    <t>CP Update(Shipper/Consignee)</t>
  </si>
  <si>
    <t>SHP_PRTY_UPD</t>
  </si>
  <si>
    <t>Commodity Update</t>
  </si>
  <si>
    <t>SHP_CMDTY_UPD</t>
  </si>
  <si>
    <t>Piece Update</t>
  </si>
  <si>
    <t>SHP_UNIT_UPD</t>
  </si>
  <si>
    <t>Shipment Update (multiple type of changes)</t>
  </si>
  <si>
    <t>SHP_MIX_UPD</t>
  </si>
  <si>
    <t>Movement Update(Scan, Commitment)</t>
  </si>
  <si>
    <t>SHP_MVMT_UPD</t>
  </si>
  <si>
    <t>(All)</t>
  </si>
  <si>
    <t>Sum of ADV</t>
  </si>
  <si>
    <t>Size(2 MB Avg) Per Ship</t>
  </si>
  <si>
    <t>Storage Need/Month</t>
  </si>
  <si>
    <t>MB</t>
  </si>
  <si>
    <t>Grand Total</t>
  </si>
  <si>
    <t>Events=ADV*70</t>
  </si>
  <si>
    <t>Shipments in every 30 seconds (Aggr)</t>
  </si>
  <si>
    <t>125 merge Operation can happen  in every 30 seconds</t>
  </si>
  <si>
    <t>Req#</t>
  </si>
  <si>
    <t>Type Of Event</t>
  </si>
  <si>
    <t>TrackType</t>
  </si>
  <si>
    <t>Event Level</t>
  </si>
  <si>
    <t>Processing Instructions</t>
  </si>
  <si>
    <t>SEP_MANIFEST</t>
  </si>
  <si>
    <t>Manifest/Shipment Profile Updates</t>
  </si>
  <si>
    <t>* (Pre-Processing)</t>
  </si>
  <si>
    <t>Master/Piece</t>
  </si>
  <si>
    <t>Process only if Track Type = CE, RE, DC, 70, 71, 72, 73, 74
Source data from MasterList and ShipmentProfile Only
1. Identify Mutli-piece shipment (M) or Single-piece shipment (I)  - set AWB and MAWB
2. Generate shipment identifer (ShipmentOid)
3.  Perfom Data Mapping to ShipmentEvent object:
* Shipment Header Attributes 
* Parties
* Location
* Shipment Dimension, Amount, Values (currency code converted to ISO using config data service)
* Commodity
* Freight Charges
* Document Details
* Routes</t>
  </si>
  <si>
    <t>Save relation ship data into IB_ESE_RE_EVENT.
This data is used at later stage</t>
  </si>
  <si>
    <t>Master</t>
  </si>
  <si>
    <t>1. Retreive already available Shipment object if avalable, otherwise create new
2. Create new  Shipment data from ShipmentEvent - with below data elements
 * Shipment basic attributes - service area, awb, service commit datetime etc
 * Commoditiies
 * Parties
 * Locations
 * Routes
 * Update Scan Availability flag - if there are scans available for shipment in IB_ESE_SCAN_EVENT
3. If Shipment present, do check following
   if new Event Seq Number &lt; current Event Seq Number in Gemini shipment object AND routes present in Shipment Event AND routes not present in Gemini Shipment - &gt; Update Routes to Shipment
   Else if Gemini Shipment freeze flag is ACCEPT_ONLY_ROUTE and Routes exists -&lt; UPdate Routes to Shipment
   Else  Overwrite all data similar to new Shipment data mapping</t>
  </si>
  <si>
    <t>Piece</t>
  </si>
  <si>
    <t>1. Get Relationship Event data staged for Tracking Number, if found use MasterAwbNbr + TrackItemUniqueId as shipment identifer, otherwise ShipmentOid
2. Retreive Shipment from Gemini database
3. If Peices not exists, then create new Peice 
     only very few attributes like Master AwbNumber, cross ref number (AwbNumber), Orig/Dest Country Cd, Orig/Dest Location Code, 
    else Update Peice object,  cross reference number is used to check if a Peice already exists</t>
  </si>
  <si>
    <t>70, 72, 73</t>
  </si>
  <si>
    <t>1. Retreive already available Shipment object if avalable, otherwise create new. Similar to CE-master event
2. If available, update Goods Classification code, Description, Currency
3. If Routes present in shipment, replace with new routes
4. If Commodities not present, create default commodity - otherwise DONOT alter commodity</t>
  </si>
  <si>
    <t>1. Retreive already available Shipment object
2. Save MDE Event to IB_ESE_CE_MDE_EVENT
3. If shipment availalble, make Shipment as IN-VALID, save Shipment and Publish dataware house event to IPC</t>
  </si>
  <si>
    <t>1.Save MDE Event to IB_ESE_CE_MDE_EVENT</t>
  </si>
  <si>
    <t>SEP_SCAN_ACCEPT</t>
  </si>
  <si>
    <t>Scan Accept Rules</t>
  </si>
  <si>
    <t>07, 29, 31, 01,02,10,11,13,22,24,42,AL,AR</t>
  </si>
  <si>
    <t>*</t>
  </si>
  <si>
    <r>
      <rPr>
        <sz val="11"/>
        <color rgb="FF000000"/>
        <rFont val="Calibri"/>
        <family val="2"/>
        <scheme val="minor"/>
      </rPr>
      <t>(</t>
    </r>
    <r>
      <rPr>
        <b/>
        <sz val="11"/>
        <color rgb="FF000000"/>
        <rFont val="Calibri"/>
        <family val="2"/>
        <scheme val="minor"/>
      </rPr>
      <t>TrackType:(07) AND TrackExceptionCode: (14,52,55,56,60,65,66,67,70,71,72,74,77)</t>
    </r>
    <r>
      <rPr>
        <sz val="11"/>
        <color rgb="FF000000"/>
        <rFont val="Calibri"/>
        <family val="2"/>
        <scheme val="minor"/>
      </rPr>
      <t>) OR
(</t>
    </r>
    <r>
      <rPr>
        <b/>
        <sz val="11"/>
        <color rgb="FF000000"/>
        <rFont val="Calibri"/>
        <family val="2"/>
        <scheme val="minor"/>
      </rPr>
      <t>TrackType:(29) AND TrackExceptionCode: (16,17,23,24,26,46,47,50,79,81,86,95)</t>
    </r>
    <r>
      <rPr>
        <sz val="11"/>
        <color rgb="FF000000"/>
        <rFont val="Calibri"/>
        <family val="2"/>
        <scheme val="minor"/>
      </rPr>
      <t>) OR
(</t>
    </r>
    <r>
      <rPr>
        <b/>
        <sz val="11"/>
        <color rgb="FF000000"/>
        <rFont val="Calibri"/>
        <family val="2"/>
        <scheme val="minor"/>
      </rPr>
      <t>TrackType:(31) AND TrackExceptionCode: (83)</t>
    </r>
    <r>
      <rPr>
        <sz val="11"/>
        <color rgb="FF000000"/>
        <rFont val="Calibri"/>
        <family val="2"/>
        <scheme val="minor"/>
      </rPr>
      <t xml:space="preserve">) OR
</t>
    </r>
    <r>
      <rPr>
        <b/>
        <sz val="11"/>
        <color rgb="FF000000"/>
        <rFont val="Calibri"/>
        <family val="2"/>
        <scheme val="minor"/>
      </rPr>
      <t>(TrackType:( 01,02,10,11,13,22,24,42,AL,AR))</t>
    </r>
  </si>
  <si>
    <t>SEP_SCAN_REMOVE_DOM</t>
  </si>
  <si>
    <t>Remove Domestic Events</t>
  </si>
  <si>
    <r>
      <rPr>
        <b/>
        <sz val="11"/>
        <color rgb="FF000000"/>
        <rFont val="Calibri"/>
        <family val="2"/>
        <scheme val="minor"/>
      </rPr>
      <t>originCountryCd == destCountryCd</t>
    </r>
    <r>
      <rPr>
        <sz val="11"/>
        <color rgb="FF000000"/>
        <rFont val="Calibri"/>
        <family val="2"/>
        <scheme val="minor"/>
      </rPr>
      <t xml:space="preserve"> OR </t>
    </r>
    <r>
      <rPr>
        <b/>
        <sz val="11"/>
        <color rgb="FF000000"/>
        <rFont val="Calibri"/>
        <family val="2"/>
        <scheme val="minor"/>
      </rPr>
      <t>trackItemFormatCd == D</t>
    </r>
  </si>
  <si>
    <t>SEP_SCAN_CONS_EVENT</t>
  </si>
  <si>
    <t>CONS Event</t>
  </si>
  <si>
    <t>Set CONS event store event is false by default. This value will be overridden by further checks if it is considered to process.</t>
  </si>
  <si>
    <t>SEP_SCAN_AVAIL_CHECK</t>
  </si>
  <si>
    <t>No Shipment Exists</t>
  </si>
  <si>
    <t>SEP_SCAN</t>
  </si>
  <si>
    <t>Movement Scan Updates</t>
  </si>
  <si>
    <t>"Process only if Track Type = 31, 01,02,07,10,11,13,22,24,29,42,AL,AR
Source data from MasterList and ShipmentProfile Only
1. Identify Mutli-piece shipment (M) or Single-piece shipment (I)  - set AWB and MAWB
2. Generate shipment identifer (ShipmentOid)
3.  Perfom Data Mapping to ShipmentEvent object:
* Shipment Header Attributes 
* Routes
* Origin/Destination Details
* Scan Information
* ConsolidationInformation</t>
  </si>
  <si>
    <t>Apply the following Rules and set the flags, for the Master AWB
1. ShipmentAvailabilityCheckRules - shipment.setAvailStat: TRUE/scanEvent.AvailableCheckScanFlag:TRUE
2. validateFinalClearanceLocation ( evaluateScanBasedFinalClearanceLocation Rules)
    * shipment.Locations
    * shipment.setSwaStat: TRUE
    * shipment.setAvailStat: TRUE
    * shipment.setSalFlag: TRUE
    * shipment.setPieceComplFlag: TRUE
3. Updating the OriginLocation with the ScanRoutes (buildOriginFpoeLocationDetails)
4. Updating the ClearanceLocation with the ScanRoutes (checkBuildSWALocationDetails)
5. set ShipmentCompleteFlag - validateShipmentCompleteStatus
6. set Shipment.setStatCodes (valdiateShipmentWareHouseStatus) - for Tracktype: 07 AND 
trackCountryCd == ClearanceCountryCode
7. shipment. svcCommitDateTime  (valdiateShipmentSVCCommitChange)
---&gt; SaveShipment() - &gt; Set PrcsFlag(Y)</t>
  </si>
  <si>
    <t>if shipment.getPieces() is EMPTY, ( or single piece)
---- then do not process the  Scan event ( return as prcsFlag  = N)
if shipment.getPieces is NOT EMPTY
 ----setPieceComplFlg in Shipment Piece
-- setShipComplFlg - shipmentCompleteFlag ( based on all piece complete flag)</t>
  </si>
  <si>
    <t>* (Post-Processing)</t>
  </si>
  <si>
    <t>Save Scan Event to IB_ESE_SCAN_EVENT</t>
  </si>
  <si>
    <t>Event Source
(SEP/CDV)</t>
  </si>
  <si>
    <t>Track Type Code
/ Scan Type Code</t>
  </si>
  <si>
    <t>Exception 
Type Code</t>
  </si>
  <si>
    <t>Data Change</t>
  </si>
  <si>
    <t>Process ?</t>
  </si>
  <si>
    <t>Processing Requirement</t>
  </si>
  <si>
    <t>DataMapper</t>
  </si>
  <si>
    <t>Shipment Domain
Event Change Type</t>
  </si>
  <si>
    <t>Send Domain
 Event ?</t>
  </si>
  <si>
    <t>SDSM</t>
  </si>
  <si>
    <t>Manifest Data - shipment Profile</t>
  </si>
  <si>
    <t>Y</t>
  </si>
  <si>
    <t xml:space="preserve">Create Shipment Object for Gemini
1. Transformed EhnancedEvent to ShipmentEvent 
    (uses only masterList &amp; shipmentProfile)
</t>
  </si>
  <si>
    <t>ShipmentProfileMapper</t>
  </si>
  <si>
    <t>MANIFEST_CREATED</t>
  </si>
  <si>
    <t>ITIH</t>
  </si>
  <si>
    <t>N</t>
  </si>
  <si>
    <t>Routing from VISA</t>
  </si>
  <si>
    <t>ISDC</t>
  </si>
  <si>
    <t>ITIH-SO</t>
  </si>
  <si>
    <t>ITIH/CHRONOS</t>
  </si>
  <si>
    <t>Relationship information Changes</t>
  </si>
  <si>
    <t xml:space="preserve">Using relationship/Assoication to set master awb
Create an entry to IB_ESE_RE_EVENT
</t>
  </si>
  <si>
    <t>EDM-GSDR</t>
  </si>
  <si>
    <t>Document Association Changes</t>
  </si>
  <si>
    <t>INTERNATIONAL MANIFEST</t>
  </si>
  <si>
    <t>Manifest Original Update</t>
  </si>
  <si>
    <t>Manifest Delete</t>
  </si>
  <si>
    <t>Manifest Update</t>
  </si>
  <si>
    <t>Manifest Update - For Description</t>
  </si>
  <si>
    <t>Undelivered Package</t>
  </si>
  <si>
    <t>Route Leg Information
Service Commit Date/Time chages</t>
  </si>
  <si>
    <t>Held, Package Cleared After Sort Down</t>
  </si>
  <si>
    <t>Regulatory Agency Clearance Delay</t>
  </si>
  <si>
    <t>Removed From Cage</t>
  </si>
  <si>
    <t>Still in Bond Cage</t>
  </si>
  <si>
    <t>Commercial Customs Release</t>
  </si>
  <si>
    <t>Customs Release/Intl SIPS</t>
  </si>
  <si>
    <t>Received From/Released to an ODA Agent</t>
  </si>
  <si>
    <t>Transit In</t>
  </si>
  <si>
    <t>Non-Document in Clearance Area</t>
  </si>
  <si>
    <t>Documents in Clearance Area</t>
  </si>
  <si>
    <t>Overage</t>
  </si>
  <si>
    <t>EMASS ENTRY / eMassEntry</t>
  </si>
  <si>
    <t>Transit Out</t>
  </si>
  <si>
    <t>PSCAN</t>
  </si>
  <si>
    <t>Payment Received</t>
  </si>
  <si>
    <t>Future Delivery Requested</t>
  </si>
  <si>
    <t>Package Received After Aircraft/Shuttle Departure</t>
  </si>
  <si>
    <t>Customer Delay</t>
  </si>
  <si>
    <t>Tendered by Cartage Agent/Consolidator</t>
  </si>
  <si>
    <t>Mass Pickup Scan</t>
  </si>
  <si>
    <t>Mass Routing Scan</t>
  </si>
  <si>
    <t>Improper/Missing Regulatory Paperwork</t>
  </si>
  <si>
    <t>Uplift Not Available</t>
  </si>
  <si>
    <t>COMAIL Stop</t>
  </si>
  <si>
    <t>Pre-Routed Meter Package</t>
  </si>
  <si>
    <t>Package Retrieval</t>
  </si>
  <si>
    <t>Package Not Delivered/Not Attempted</t>
  </si>
  <si>
    <t>Release</t>
  </si>
  <si>
    <t>Recipient Not In/Business Closed</t>
  </si>
  <si>
    <t>Damaged - Delivery Not Completed</t>
  </si>
  <si>
    <t>C.O.D. Delivery</t>
  </si>
  <si>
    <t>Package Sorted to Wrong Route</t>
  </si>
  <si>
    <t>Received from Non-Express Access Location</t>
  </si>
  <si>
    <t>Pkg Missed Aircraft/Truck at Sta/Hub/Ramp</t>
  </si>
  <si>
    <t>Plane Arrived Late at Hub or Ramp</t>
  </si>
  <si>
    <t>Business Closed/Delivery Not Attempted</t>
  </si>
  <si>
    <t>AL</t>
  </si>
  <si>
    <t>Alternate Linehaul Scan / Daysort Recovery Scan</t>
  </si>
  <si>
    <t>TRIP</t>
  </si>
  <si>
    <t>Arrival Scan</t>
  </si>
  <si>
    <t>Extract out the qual-mark and the rex-type-code</t>
  </si>
  <si>
    <t>Extract out the qual-mark and the rex-type-code - see reference</t>
  </si>
  <si>
    <t>*** Do we need to add ECCO (79) scan? For example, 642385110493 Clearance Completed</t>
  </si>
  <si>
    <t>TRACK TYPE</t>
  </si>
  <si>
    <t>ASTRA</t>
  </si>
  <si>
    <t>CONS</t>
  </si>
  <si>
    <t>SCAN DATETIME</t>
  </si>
  <si>
    <t>LOC ID</t>
  </si>
  <si>
    <t>FedEx ID</t>
  </si>
  <si>
    <t>SOURCE / SYSTEM NAME</t>
  </si>
  <si>
    <t>STATUS / COMMENTS</t>
  </si>
  <si>
    <t>MEMIP</t>
  </si>
  <si>
    <t>Type code: C  CLEARANCE COMPLETED  ---- POST DATE/TIME 12/07/2023 13:32:43</t>
  </si>
  <si>
    <t>Stage</t>
  </si>
  <si>
    <t>Title</t>
  </si>
  <si>
    <t>What</t>
  </si>
  <si>
    <t>When</t>
  </si>
  <si>
    <t>Why</t>
  </si>
  <si>
    <t>Scenario</t>
  </si>
  <si>
    <t>Data Change on Shipment</t>
  </si>
  <si>
    <t>Shipment Domain Event</t>
  </si>
  <si>
    <t>Origin</t>
  </si>
  <si>
    <t>PUP</t>
  </si>
  <si>
    <t>A Pickup (PUP) scan is a scan performed on a package that is being picked up and entered into the FedEx network.</t>
  </si>
  <si>
    <t>A Pickup (PUP) scan is performed on any non-exception shipment entering the FedEx network, including regular, on-call, drop box, or received over the counter.</t>
  </si>
  <si>
    <t>Applied to packages in order to track the package's movement through the network</t>
  </si>
  <si>
    <t>Courier performs a PUP on the package during retrieval</t>
  </si>
  <si>
    <t>PUX46</t>
  </si>
  <si>
    <t>To be used for packages that were picked up, but are not routed.  This is a possession-only scan.</t>
  </si>
  <si>
    <t>After performing the PUX46, apply a PUX47 scan at the ramp or station to route the shipment.</t>
  </si>
  <si>
    <t>Courier performs a PUX46 on a package that has not been routed</t>
  </si>
  <si>
    <t>PUX47</t>
  </si>
  <si>
    <t>Used after a PUX46 scan is performed. Enter the package routing information to produce ASTRA labels.</t>
  </si>
  <si>
    <t>Courier performance PUX47 on all packages that has received a PUX46 to ensure proper routing</t>
  </si>
  <si>
    <t>STAT13</t>
  </si>
  <si>
    <t>This scan is used by the FedEx Express courier when transporting packages that were PUP scanned by FedEx Office or FedEx Convenience Location (FASC) employees back to the Express station for outbound scanning.</t>
  </si>
  <si>
    <t>This scan is performed as the Express courier loads packages into a vehicle for transport back to the station.</t>
  </si>
  <si>
    <t>Status to show ‘who’ has ownership or responsibility of the package. Once Express takes the package out of the convenience location, the package must reflect movement back to the station.</t>
  </si>
  <si>
    <t>Courier applies PUX81 on a package and section's the location type as a FedEx office or retail point. Stat13 is automatically applied.</t>
  </si>
  <si>
    <t>STAT14</t>
  </si>
  <si>
    <t>Undeliverable Package</t>
  </si>
  <si>
    <t>A package is undeliverable and needs to be returned to the shipper, destroyed, or sent to the appropriate area.</t>
  </si>
  <si>
    <t>After 5 business days, an undeliverable package will be given a STAT14.</t>
  </si>
  <si>
    <t>PUX23</t>
  </si>
  <si>
    <t xml:space="preserve"> Package Received After A/C / Shuttle Departure</t>
  </si>
  <si>
    <t>Package was tendered after pickup cutoff or aircraft/shuttle departure.</t>
  </si>
  <si>
    <t>A package dropped off after the aircraft/shuttle departure did not go out the day it was dropped off by the customer.</t>
  </si>
  <si>
    <t>STAT44</t>
  </si>
  <si>
    <t>Package Movement Exception</t>
  </si>
  <si>
    <t>A package/shipment that will remain in the custody of a FedEx location pending further action on status. Must be applied daily to avoid Scan Gap failures.</t>
  </si>
  <si>
    <t>To be used for information and research to locate the package/shipment.</t>
  </si>
  <si>
    <t>Package receives a STAT44 each day it is at a location.</t>
  </si>
  <si>
    <t>SOP</t>
  </si>
  <si>
    <t>Station Outbound Package</t>
  </si>
  <si>
    <t>Package departs a station operation.</t>
  </si>
  <si>
    <t>Identify packages that have departed a station operation.</t>
  </si>
  <si>
    <t>Applied for every package that has left a station.</t>
  </si>
  <si>
    <t xml:space="preserve">STAT77 </t>
  </si>
  <si>
    <t>To be used for sort process (when loading containers) in various locations either hub/ramp locations or station (when sorting packages before sending them to final delivering stations). To ensure correct VISA route is entered to avoid overage.</t>
  </si>
  <si>
    <t>Document or non-document packages leaving a premises (station, ramp, hub).</t>
  </si>
  <si>
    <t>Applied to a package to ensure correct VISA route.</t>
  </si>
  <si>
    <t>STAT50</t>
  </si>
  <si>
    <t>In station</t>
  </si>
  <si>
    <t>International packages/shipments are either missing required paperwork or the attached paperwork is incomplete.</t>
  </si>
  <si>
    <t xml:space="preserve">Apply a STAT50 in station when a package has improper or missing paperwork. </t>
  </si>
  <si>
    <t>MDE</t>
  </si>
  <si>
    <t>Manifesting Shipments</t>
  </si>
  <si>
    <t>FedEx requires International Air Waybill (IAWB) information for all international shipments (except 023 shipments) to be keyed accurately into the VISA Manifest system on the date of movement and transmitted to the destination clearance gateway.</t>
  </si>
  <si>
    <t>Accurate manifest data entry is crucial to avoid discrepancies, additional processing/re-work, fines, and potential negative impact on customer billing accuracy.</t>
  </si>
  <si>
    <t>Data updates to Shipment manifest</t>
  </si>
  <si>
    <t>Insert / Update below Shipment child entities
1. Shipment Header attributes 
2. Locations
3. Planned Itinerary from VISA
4. Shipment DIM, Values &amp; Amounts etc
5. Shipment Unit (piece/package)
6. Commodity</t>
  </si>
  <si>
    <t>HIP</t>
  </si>
  <si>
    <t>Hub Inbound Package</t>
  </si>
  <si>
    <t>Typically performed on a conveyance arrival.  Performed at hub/ramp locations.</t>
  </si>
  <si>
    <t xml:space="preserve">Conveyance arrives in a hub/ramp location. Packages nested into vessel CONS will reflect a HIP scan. </t>
  </si>
  <si>
    <t>RIP</t>
  </si>
  <si>
    <t>Ramp Inbound Package</t>
  </si>
  <si>
    <t>To denote that a conveyance arrives at ramp location.</t>
  </si>
  <si>
    <t xml:space="preserve">Conveyance arrives at a ramp/hub location.  Packages nested into vessel CONS will reflect a RIP scan. </t>
  </si>
  <si>
    <t>STAT70</t>
  </si>
  <si>
    <t>Document or non-document packages arriving in a premises (station, ramp, hub) but destined to another.</t>
  </si>
  <si>
    <t>To be used for sort process (from containers) in various locations either hub/ramp or station locations where the final package destination is other than that location(when sorting packages before sending) them to final delivering stations).</t>
  </si>
  <si>
    <t>In locations that use HubStack -&gt; STAT70 is not always applied. In locations that use DH1/UDS/MWW -&gt; STAT70  reason: systems are incapable of  performing STAT71 &amp; STAT72 scans</t>
  </si>
  <si>
    <t>STAT77</t>
  </si>
  <si>
    <t xml:space="preserve">Document or non-document packages leaving a premises (station, ramp, hub).   </t>
  </si>
  <si>
    <t>The package is leaving a (station, ramp, hub)</t>
  </si>
  <si>
    <t>HOP</t>
  </si>
  <si>
    <t>Hub Outbound Package</t>
  </si>
  <si>
    <t>Typically performed on a conveyance departure entry.  Performed at hub location.</t>
  </si>
  <si>
    <t>Conveyance departs a hub location.  Packages nested into vessel CONS will reflect a HOP scan.</t>
  </si>
  <si>
    <t>ROP</t>
  </si>
  <si>
    <t>Ramp Outbound Package</t>
  </si>
  <si>
    <t>Conveyance departs a ramp location.  Typically performed on a conveyance departure entry (FOIS/TRIP).</t>
  </si>
  <si>
    <t>Conveyance departs a ramp location.  Packages nested into vessel CONS will reflect a ROP scan.</t>
  </si>
  <si>
    <t>STAT57</t>
  </si>
  <si>
    <t>PKG Manifested But Not Received</t>
  </si>
  <si>
    <t>To identify International shortages.</t>
  </si>
  <si>
    <t>An International package was manifested but was not received at the clearance or destination location.</t>
  </si>
  <si>
    <t>Package receives manifest but no physical scan.</t>
  </si>
  <si>
    <t>STAT37</t>
  </si>
  <si>
    <t>Observed Package Damage</t>
  </si>
  <si>
    <t>The package was observed to be damaged at location; or the package contents are missing when it arrives into a location.</t>
  </si>
  <si>
    <t>To apply to packages with observable damage. We can select a reason for the damage and take action on the appropriate outcome.</t>
  </si>
  <si>
    <t>A package has arrived and damage has been observed.</t>
  </si>
  <si>
    <t>MIS</t>
  </si>
  <si>
    <t>Missort</t>
  </si>
  <si>
    <t>To deliver the missorted shipment to the recipient by the delivery commitment, including expediting the shipment to ensure minimal impact to the customer.</t>
  </si>
  <si>
    <t>A shipment requires corrective routing action due to an error.</t>
  </si>
  <si>
    <t xml:space="preserve">Package arrived at incorrect Hub, Ramp or Station </t>
  </si>
  <si>
    <t>TDE</t>
  </si>
  <si>
    <t>Transit Delay Exception</t>
  </si>
  <si>
    <t>Assist Customer Service Agent in providing information to customer regarding a shipment delayed due to hub sort process or means of transport issue.</t>
  </si>
  <si>
    <t xml:space="preserve">Identify a package experiencing a delay due to mechanical problems (aircraft or truck), weather, or other conditions that will cause the transport source to be delayed – or a package delayed during hub sort process.   </t>
  </si>
  <si>
    <t>Dest-Clearance</t>
  </si>
  <si>
    <t>HIP/RIP</t>
  </si>
  <si>
    <t>Hub Inbound Package/Ramp Inbound Package</t>
  </si>
  <si>
    <t xml:space="preserve">Conveyance arrives a hub location. Packages nested into vessel CONS will reflect a HIP scan. Conveyance arrives a ramp location.  Packages nested into vessel CONS will reflect a RIP scan. </t>
  </si>
  <si>
    <t>Typically performed on a conveyance arrival.  Performed at hub locations. To denote that a conveyance arrives at ramp location.  Typically performed on a flight or route number vessel CONS.</t>
  </si>
  <si>
    <t>To be used for sort process (when offloaded from containers) in various locations either hub/ramp locations or station (when sorting packages before sending them to final delivering stations).</t>
  </si>
  <si>
    <t>A package is transiting through this Hub or Ramp</t>
  </si>
  <si>
    <t>STAT71</t>
  </si>
  <si>
    <t>At gateways, non-documents that required clearance have arrived and available for clearance.</t>
  </si>
  <si>
    <t>To all non-documents that require clearance</t>
  </si>
  <si>
    <t>A package requires Clearance and is sorted in the Non-document clearance area.</t>
  </si>
  <si>
    <t>STAT72</t>
  </si>
  <si>
    <t>A document or non-dutiable package was received at the destination.  At gateway, pieces (e.g. documents) that are not dutiable have arrived and available for clearance.</t>
  </si>
  <si>
    <t>Apply to pieces that arrive at port of entry and do not require duties.</t>
  </si>
  <si>
    <t>A package that does not require duties is sorted into the documents area.</t>
  </si>
  <si>
    <t>STAT65</t>
  </si>
  <si>
    <t>Package/shipment has been released by Customs or by regulatory agencies at a clearance point.</t>
  </si>
  <si>
    <t>This is to indicate that package can move into or out of the commerce of the country.</t>
  </si>
  <si>
    <t>A package has been cleared for delivery.</t>
  </si>
  <si>
    <t>STAT66</t>
  </si>
  <si>
    <t xml:space="preserve">Package/shipment was released by Customs and all regulatory agencies at a clearance point and includes a SIP for productivity. </t>
  </si>
  <si>
    <t>This scan enhances productivity by reducing one scan.</t>
  </si>
  <si>
    <t>A package has been cleared for delivery at a HUB/Ramp location.</t>
  </si>
  <si>
    <t>STAT74</t>
  </si>
  <si>
    <t xml:space="preserve">The package arrived at a clearance location, but is not on the arrival manifest or is not manifested on the correct day/route and as such no clearance preparation was completed. </t>
  </si>
  <si>
    <t>Identify Packages Considered Overages</t>
  </si>
  <si>
    <t>Discrepancies in the manifest that causes a surplus of unknown packages arriving at a clearance location that have not been preprocessed for clearance.</t>
  </si>
  <si>
    <t>STAT64</t>
  </si>
  <si>
    <t>Non-FedEx Clearance</t>
  </si>
  <si>
    <t>Non-FedEx inbound clearance paperwork is available and the broker has been notified.</t>
  </si>
  <si>
    <t>To be used on ALL inbound non-FedEx clearance shipments.</t>
  </si>
  <si>
    <t>Packages that will not be cleared by FedEx but by external brokers.</t>
  </si>
  <si>
    <t>STAT60</t>
  </si>
  <si>
    <t>An International package that is held in the secured bonded cage or bonded warehouse pending regulatory clearance.</t>
  </si>
  <si>
    <t>This is an inventory scan that must be applied daily.</t>
  </si>
  <si>
    <t>Missing paperwork/ missing clearance information or customs rejection on clearance therefore the package must be held until resolved. (example missing commercial invoice).</t>
  </si>
  <si>
    <t>STAT73</t>
  </si>
  <si>
    <t>Extra Regulatory Processing</t>
  </si>
  <si>
    <t>The package/shipment is a commodity type requiring clearance by a government agency other than Customs and may be cleared or processed outside of the normal time frames of other express packages.</t>
  </si>
  <si>
    <t>This code should only be used at non-VISA cage locations. Use this code for shipments requiring other government agency clearance such as an agricultural agency, wildlife agency, alcohol or tobacco agencies, etc.</t>
  </si>
  <si>
    <t>A package needs further clearance inspection.</t>
  </si>
  <si>
    <t>STAT52</t>
  </si>
  <si>
    <t>Customs or a regulatory agency cleared the package after the clearance window and onward conveyance movement.</t>
  </si>
  <si>
    <t>Package is cleared beyond the clearance window</t>
  </si>
  <si>
    <t>A package is cleared after the clearance window and therefore will probably experience delay.</t>
  </si>
  <si>
    <t>STAT55</t>
  </si>
  <si>
    <t>A package is being held for inspection by a regulatory agency.</t>
  </si>
  <si>
    <t>Use when transit, export clearance delays, or security process and not using VISA CAGE/iCage system. May use if regulatory agency not returning package after STAT56 for VISA CAGE/iCage removal. Do not use for intercept packages without provided paperwork.</t>
  </si>
  <si>
    <t>Applied to a package has a regulatory clearance delay at non VISA/ICAGE locations.</t>
  </si>
  <si>
    <t>STAT63</t>
  </si>
  <si>
    <t>Package Held for Taxes</t>
  </si>
  <si>
    <t>The package is being held until the customer pays the required duties and/or taxes.</t>
  </si>
  <si>
    <t>Used when the shipment has cleared Customs and FedEx is waiting on reimbursement for duties/taxes.</t>
  </si>
  <si>
    <t>Duties &amp; Taxes need to be paid to release package.</t>
  </si>
  <si>
    <t>STAT56</t>
  </si>
  <si>
    <t>Removed from CAGE</t>
  </si>
  <si>
    <t>The package/shipment was removed from the International bonded cage or warehouse.</t>
  </si>
  <si>
    <t>To apply to packages that have been removed from the CAGE.</t>
  </si>
  <si>
    <t>Indication of a package removal from the CAGE but still not cleared. For example customs take the package off site for some reason.</t>
  </si>
  <si>
    <t>A package/shipment that will remain  in the custody of a FedEx location pending further action on status. Must be applied daily to avoid Scan Gap failures.</t>
  </si>
  <si>
    <t>To be used for information and research to locate the package/shipment. Can be used at any FedEx location.</t>
  </si>
  <si>
    <t>Updates the status of a package that will remain in the custody of FedEx.</t>
  </si>
  <si>
    <t xml:space="preserve"> Undeliverable Package</t>
  </si>
  <si>
    <t>This code is a final disposition scan.</t>
  </si>
  <si>
    <t>Indicate action to be taken with an undeliverable package.</t>
  </si>
  <si>
    <t>A shipment requires corrective routing action due to an error. Package or Container arrives at the wrong sort location.</t>
  </si>
  <si>
    <t>A package arrives at incorrect location.</t>
  </si>
  <si>
    <t>Identify a package experiencing a delay due to mechanical problems (aircraft or truck), weather, or other conditions that will cause the transport source to be delayed – or a package delayed during hub sort process.</t>
  </si>
  <si>
    <t>Destination</t>
  </si>
  <si>
    <t>HOP/ROP</t>
  </si>
  <si>
    <t>Proof of Delivery</t>
  </si>
  <si>
    <t xml:space="preserve">A Proof of Delivery (POD) scan is performed when any non-exception shipment is delivered or tendered to a recipient. </t>
  </si>
  <si>
    <t>This is a final disposition scan to indicate a package is delivered.</t>
  </si>
  <si>
    <t>POD</t>
  </si>
  <si>
    <t>A package is successfully delivered to a recipient without exception.</t>
  </si>
  <si>
    <t>SIP</t>
  </si>
  <si>
    <t>Station Inbound Package</t>
  </si>
  <si>
    <t>Package arrives at a station delivery operation.</t>
  </si>
  <si>
    <t>Identify packages that have arrived at a station delivery operation.  To be used only delivery station operations.  CONS usage is subject to local standard operating procedures (SOP).</t>
  </si>
  <si>
    <t>MISSORT</t>
  </si>
  <si>
    <t>VAN</t>
  </si>
  <si>
    <t>Package on Vehicle</t>
  </si>
  <si>
    <t>Package is loaded onto delivery vehicle.</t>
  </si>
  <si>
    <t>Identify packages that are out on the road for delivery.  To be used only by FedEx employee delivery operations.</t>
  </si>
  <si>
    <t>A package is loaded on van for delivery.</t>
  </si>
  <si>
    <t>HAL</t>
  </si>
  <si>
    <t xml:space="preserve"> Hold at Location</t>
  </si>
  <si>
    <t>Used by front counter personnel at destination locations for direct hold or customer-requested service change to hold at location. Indicates shipment arrival and availability for pick-up.</t>
  </si>
  <si>
    <t>Status to show that a shipment is available for customer pick up.</t>
  </si>
  <si>
    <t>A package is held a location for collection by recipient or agent.</t>
  </si>
  <si>
    <t>STAT67</t>
  </si>
  <si>
    <t>Received from / Released to an ODA Agent</t>
  </si>
  <si>
    <t>The time and date FedEx released to an agent for further processing.</t>
  </si>
  <si>
    <t>To be used for non-contract agents and NNPs ( National Network Provider).</t>
  </si>
  <si>
    <t>A package was released to a non FedEx agent for delivery.</t>
  </si>
  <si>
    <t>STAT19</t>
  </si>
  <si>
    <t>Transfer of Custodial Control</t>
  </si>
  <si>
    <t>Transfer custodial control between individuals (courier to courier), FedEx locations (FXE and FXO), or OnSite retailers (OnSite and FXE).</t>
  </si>
  <si>
    <t>FedEx to FedEx handoff (e.g. missort exchange, sweep routes). FedEx to Non-FedEx handoff.  FedEx to FedEx Authorized Ship Center (In Europe/Canada, shipments tendered to subcontractors other than ODA/cartage agent). OnSite retailers to FedEx handoff.</t>
  </si>
  <si>
    <t>Transfer of custody between couriers.</t>
  </si>
  <si>
    <t>Applied to a package has a regulatory clearance delay and needs to be retuned to clearance.</t>
  </si>
  <si>
    <t xml:space="preserve">STAT68 </t>
  </si>
  <si>
    <t>In Country Transit</t>
  </si>
  <si>
    <t>Scan to be used for moving cleared BSO handling code 40 products ONLY to final delivery location.</t>
  </si>
  <si>
    <t>An inbound package that will be moved from the broker clearance location to the final recipient location within the same country.</t>
  </si>
  <si>
    <t>If the gateway serving the broker is not responsible for final delivery, a STAT 68 is applied to a custom cleared BSO shipment to transport to final destination</t>
  </si>
  <si>
    <t>TRANSIT/Origin</t>
  </si>
  <si>
    <t>REX83_5_05</t>
  </si>
  <si>
    <t>Revenue exception</t>
  </si>
  <si>
    <t>REX excerption with multiple changes</t>
  </si>
  <si>
    <t>An inbound package that has multiple changes in the REX scans and the changes would need to be derived</t>
  </si>
  <si>
    <t>If there is duties payeable, weight and payment account is needed so that correct duties are paid</t>
  </si>
  <si>
    <t>REX83_P_02</t>
  </si>
  <si>
    <t>Payment Method Change</t>
  </si>
  <si>
    <t>Payment method has changed after shipment has uplifted</t>
  </si>
  <si>
    <t>REX82_Q_07</t>
  </si>
  <si>
    <t>DIM weight</t>
  </si>
  <si>
    <t>Actual shipment is weight</t>
  </si>
  <si>
    <t>REX82_Q_14</t>
  </si>
  <si>
    <t xml:space="preserve">DIM weight </t>
  </si>
  <si>
    <t>REX83_R_08</t>
  </si>
  <si>
    <t>Chargeable code change</t>
  </si>
  <si>
    <t>is changed after shipment is uplidted</t>
  </si>
  <si>
    <t>DataSource</t>
  </si>
  <si>
    <t>AS-IS Message Header Level filtering</t>
  </si>
  <si>
    <t>Desired Filtering capabilties</t>
  </si>
  <si>
    <t>FIlter by Track Type, Track exception, origin country, destination country</t>
  </si>
  <si>
    <t>FIlter by Track Type, Track exception, origin country, destination country, origin station, destination station, route_origin_location, route_destination_location, route_nbr</t>
  </si>
  <si>
    <t>To support reduced processing volume for Import/Export and Transits shipments</t>
  </si>
  <si>
    <t>Header level filtering was avaialble in  ITIH ESE and ITIH MDE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</si>
</sst>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0.00_);_(* \(#,##0.00\);_(* &quot;-&quot;??_);_(@_)"/>
    <numFmt numFmtId="165" formatCode="_(* #,##0_);_(* \(#,##0\);_(* &quot;-&quot;??_);_(@_)"/>
  </numFmts>
  <fonts count="29" x14ac:knownFonts="1">
    <font>
      <sz val="11"/>
      <color theme="1"/>
      <name val="Calibri"/>
      <family val="2"/>
      <scheme val="minor"/>
    </font>
    <font>
      <b/>
      <sz val="11"/>
      <color theme="1"/>
      <name val="Calibri"/>
      <family val="2"/>
      <scheme val="minor"/>
    </font>
    <font>
      <sz val="11"/>
      <color rgb="FF000000"/>
      <name val="Calibri"/>
      <family val="2"/>
    </font>
    <font>
      <b/>
      <sz val="11"/>
      <color rgb="FF000000"/>
      <name val="Calibri"/>
      <family val="2"/>
    </font>
    <font>
      <sz val="11"/>
      <color rgb="FF000000"/>
      <name val="Calibri"/>
      <family val="2"/>
      <scheme val="minor"/>
    </font>
    <font>
      <b/>
      <sz val="11"/>
      <color rgb="FF000000"/>
      <name val="Calibri"/>
      <family val="2"/>
      <scheme val="minor"/>
    </font>
    <font>
      <b/>
      <sz val="11"/>
      <color theme="0"/>
      <name val="Calibri"/>
      <family val="2"/>
      <scheme val="minor"/>
    </font>
    <font>
      <strike/>
      <sz val="11"/>
      <color theme="1"/>
      <name val="Calibri"/>
      <family val="2"/>
      <scheme val="minor"/>
    </font>
    <font>
      <sz val="11"/>
      <color rgb="FFFF0000"/>
      <name val="Calibri"/>
      <family val="2"/>
      <scheme val="minor"/>
    </font>
    <font>
      <strike/>
      <sz val="11"/>
      <color rgb="FFFF0000"/>
      <name val="Calibri"/>
      <family val="2"/>
      <scheme val="minor"/>
    </font>
    <font>
      <b/>
      <sz val="9"/>
      <color rgb="FFFF0000"/>
      <name val="Verdana"/>
      <family val="2"/>
    </font>
    <font>
      <b/>
      <sz val="8"/>
      <color rgb="FF000000"/>
      <name val="Calibri"/>
      <family val="2"/>
    </font>
    <font>
      <sz val="8"/>
      <color rgb="FF000000"/>
      <name val="Calibri"/>
      <family val="2"/>
    </font>
    <font>
      <b/>
      <sz val="10"/>
      <color rgb="FF000000"/>
      <name val="Arial"/>
      <family val="2"/>
    </font>
    <font>
      <sz val="10"/>
      <color rgb="FF000000"/>
      <name val="Arial"/>
      <family val="2"/>
    </font>
    <font>
      <b/>
      <sz val="14"/>
      <color theme="1"/>
      <name val="Calibri"/>
      <family val="2"/>
      <scheme val="minor"/>
    </font>
    <font>
      <b/>
      <i/>
      <sz val="11"/>
      <name val="Calibri"/>
      <family val="2"/>
      <scheme val="minor"/>
    </font>
    <font>
      <b/>
      <i/>
      <u/>
      <sz val="11"/>
      <name val="Calibri"/>
      <family val="2"/>
      <scheme val="minor"/>
    </font>
    <font>
      <i/>
      <sz val="11"/>
      <color theme="1"/>
      <name val="Calibri"/>
      <family val="2"/>
      <scheme val="minor"/>
    </font>
    <font>
      <sz val="8"/>
      <color rgb="FFFF0000"/>
      <name val="Calibri"/>
      <family val="2"/>
    </font>
    <font>
      <sz val="11"/>
      <color theme="1"/>
      <name val="Calibri"/>
      <family val="2"/>
      <scheme val="minor"/>
    </font>
    <font>
      <sz val="10"/>
      <name val="Consolas"/>
      <family val="3"/>
    </font>
    <font>
      <sz val="10"/>
      <color rgb="FF000000"/>
      <name val="Calibri"/>
      <family val="2"/>
      <scheme val="minor"/>
    </font>
    <font>
      <sz val="10"/>
      <color rgb="FF000000"/>
      <name val="Courier New"/>
      <family val="3"/>
    </font>
    <font>
      <sz val="10"/>
      <color rgb="FF2A00FF"/>
      <name val="Courier New"/>
      <family val="3"/>
    </font>
    <font>
      <b/>
      <sz val="8"/>
      <color rgb="FFFF0000"/>
      <name val="Calibri"/>
      <family val="2"/>
    </font>
    <font>
      <b/>
      <sz val="8"/>
      <color rgb="FF4472C4"/>
      <name val="Calibri"/>
    </font>
    <font>
      <b/>
      <sz val="8"/>
      <color rgb="FFFF0000"/>
      <name val="Calibri"/>
    </font>
    <font>
      <sz val="8"/>
      <color rgb="FFFF0000"/>
      <name val="Calibri"/>
    </font>
  </fonts>
  <fills count="26">
    <fill>
      <patternFill patternType="none"/>
    </fill>
    <fill>
      <patternFill patternType="gray125"/>
    </fill>
    <fill>
      <patternFill patternType="solid">
        <fgColor theme="4" tint="0.59999389629810485"/>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4" tint="0.3999755851924192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4"/>
        <bgColor theme="4"/>
      </patternFill>
    </fill>
    <fill>
      <patternFill patternType="solid">
        <fgColor theme="3" tint="0.79998168889431442"/>
        <bgColor indexed="64"/>
      </patternFill>
    </fill>
    <fill>
      <patternFill patternType="solid">
        <fgColor rgb="FFFFFFFF"/>
        <bgColor indexed="64"/>
      </patternFill>
    </fill>
    <fill>
      <patternFill patternType="solid">
        <fgColor rgb="FFF4B084"/>
        <bgColor rgb="FF000000"/>
      </patternFill>
    </fill>
    <fill>
      <patternFill patternType="solid">
        <fgColor rgb="FFB4C6E7"/>
        <bgColor rgb="FF000000"/>
      </patternFill>
    </fill>
    <fill>
      <patternFill patternType="solid">
        <fgColor theme="2" tint="-9.9978637043366805E-2"/>
        <bgColor indexed="64"/>
      </patternFill>
    </fill>
    <fill>
      <patternFill patternType="solid">
        <fgColor rgb="FFD9E1F2"/>
        <bgColor indexed="64"/>
      </patternFill>
    </fill>
    <fill>
      <patternFill patternType="solid">
        <fgColor theme="9"/>
        <bgColor indexed="64"/>
      </patternFill>
    </fill>
    <fill>
      <patternFill patternType="solid">
        <fgColor theme="1"/>
        <bgColor indexed="64"/>
      </patternFill>
    </fill>
    <fill>
      <patternFill patternType="solid">
        <fgColor theme="0" tint="-4.9989318521683403E-2"/>
        <bgColor indexed="64"/>
      </patternFill>
    </fill>
    <fill>
      <patternFill patternType="solid">
        <fgColor theme="4" tint="0.79998168889431442"/>
        <bgColor theme="4" tint="0.79998168889431442"/>
      </patternFill>
    </fill>
    <fill>
      <patternFill patternType="solid">
        <fgColor theme="7" tint="0.59999389629810485"/>
        <bgColor indexed="64"/>
      </patternFill>
    </fill>
    <fill>
      <patternFill patternType="solid">
        <fgColor theme="6" tint="0.39997558519241921"/>
        <bgColor indexed="64"/>
      </patternFill>
    </fill>
    <fill>
      <patternFill patternType="solid">
        <fgColor theme="1" tint="0.499984740745262"/>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style="thin">
        <color rgb="FFAAAAAA"/>
      </left>
      <right style="thin">
        <color rgb="FFAAAAAA"/>
      </right>
      <top style="thin">
        <color rgb="FFAAAAAA"/>
      </top>
      <bottom style="thin">
        <color rgb="FFAAAAAA"/>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rgb="FF000000"/>
      </left>
      <right style="thin">
        <color rgb="FF000000"/>
      </right>
      <top style="thin">
        <color rgb="FF000000"/>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164" fontId="20" fillId="0" borderId="0" applyFont="0" applyFill="0" applyBorder="0" applyAlignment="0" applyProtection="0"/>
  </cellStyleXfs>
  <cellXfs count="170">
    <xf numFmtId="0" fontId="0" fillId="0" borderId="0" xfId="0"/>
    <xf numFmtId="0" fontId="0" fillId="0" borderId="1" xfId="0" applyBorder="1"/>
    <xf numFmtId="0" fontId="0" fillId="0" borderId="1" xfId="0" applyBorder="1" applyAlignment="1">
      <alignment wrapText="1"/>
    </xf>
    <xf numFmtId="0" fontId="0" fillId="0" borderId="0" xfId="0" applyAlignment="1">
      <alignment wrapText="1"/>
    </xf>
    <xf numFmtId="0" fontId="0" fillId="0" borderId="0" xfId="0" applyAlignment="1">
      <alignment horizontal="left"/>
    </xf>
    <xf numFmtId="0" fontId="2" fillId="4" borderId="2" xfId="0" applyFont="1" applyFill="1" applyBorder="1"/>
    <xf numFmtId="0" fontId="2" fillId="4" borderId="2" xfId="0" applyFont="1" applyFill="1" applyBorder="1" applyAlignment="1">
      <alignment horizontal="left"/>
    </xf>
    <xf numFmtId="0" fontId="0" fillId="4" borderId="2" xfId="0" applyFill="1" applyBorder="1"/>
    <xf numFmtId="0" fontId="0" fillId="4" borderId="2" xfId="0" applyFill="1" applyBorder="1" applyAlignment="1">
      <alignment horizontal="left"/>
    </xf>
    <xf numFmtId="0" fontId="2" fillId="5" borderId="2" xfId="0" applyFont="1" applyFill="1" applyBorder="1"/>
    <xf numFmtId="0" fontId="0" fillId="5" borderId="2" xfId="0" applyFill="1" applyBorder="1"/>
    <xf numFmtId="0" fontId="3" fillId="6" borderId="2" xfId="0" applyFont="1" applyFill="1" applyBorder="1" applyAlignment="1">
      <alignment horizontal="center" wrapText="1"/>
    </xf>
    <xf numFmtId="0" fontId="3" fillId="6" borderId="2" xfId="0" applyFont="1" applyFill="1" applyBorder="1" applyAlignment="1">
      <alignment horizontal="center"/>
    </xf>
    <xf numFmtId="0" fontId="0" fillId="5" borderId="2" xfId="0" applyFill="1" applyBorder="1" applyAlignment="1">
      <alignment horizontal="center"/>
    </xf>
    <xf numFmtId="0" fontId="0" fillId="0" borderId="0" xfId="0" applyAlignment="1">
      <alignment horizontal="center"/>
    </xf>
    <xf numFmtId="0" fontId="2" fillId="5" borderId="2" xfId="0" applyFont="1" applyFill="1" applyBorder="1" applyAlignment="1">
      <alignment horizontal="center"/>
    </xf>
    <xf numFmtId="0" fontId="0" fillId="0" borderId="2" xfId="0" applyBorder="1" applyAlignment="1">
      <alignment horizontal="center"/>
    </xf>
    <xf numFmtId="0" fontId="2" fillId="5" borderId="2" xfId="0" applyFont="1" applyFill="1" applyBorder="1" applyAlignment="1">
      <alignment wrapText="1"/>
    </xf>
    <xf numFmtId="0" fontId="0" fillId="5" borderId="2" xfId="0" applyFill="1" applyBorder="1" applyAlignment="1">
      <alignment wrapText="1"/>
    </xf>
    <xf numFmtId="0" fontId="0" fillId="7" borderId="2" xfId="0" applyFill="1" applyBorder="1"/>
    <xf numFmtId="0" fontId="0" fillId="7" borderId="2" xfId="0" applyFill="1" applyBorder="1" applyAlignment="1">
      <alignment horizontal="left"/>
    </xf>
    <xf numFmtId="0" fontId="6" fillId="12" borderId="3" xfId="0" applyFont="1" applyFill="1" applyBorder="1" applyAlignment="1">
      <alignment wrapText="1"/>
    </xf>
    <xf numFmtId="0" fontId="6" fillId="12" borderId="4" xfId="0" applyFont="1" applyFill="1" applyBorder="1" applyAlignment="1">
      <alignment wrapText="1"/>
    </xf>
    <xf numFmtId="49" fontId="0" fillId="0" borderId="5" xfId="0" applyNumberFormat="1" applyBorder="1" applyAlignment="1">
      <alignment wrapText="1"/>
    </xf>
    <xf numFmtId="49" fontId="0" fillId="0" borderId="1" xfId="0" applyNumberFormat="1" applyBorder="1" applyAlignment="1">
      <alignment wrapText="1"/>
    </xf>
    <xf numFmtId="49" fontId="0" fillId="0" borderId="6" xfId="0" applyNumberFormat="1" applyBorder="1" applyAlignment="1">
      <alignment wrapText="1"/>
    </xf>
    <xf numFmtId="49" fontId="0" fillId="0" borderId="7" xfId="0" applyNumberFormat="1" applyBorder="1" applyAlignment="1">
      <alignment wrapText="1"/>
    </xf>
    <xf numFmtId="49" fontId="0" fillId="0" borderId="8" xfId="0" applyNumberFormat="1" applyBorder="1" applyAlignment="1">
      <alignment wrapText="1"/>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8" borderId="1" xfId="0" applyFill="1" applyBorder="1" applyAlignment="1">
      <alignment wrapText="1"/>
    </xf>
    <xf numFmtId="0" fontId="0" fillId="8" borderId="1" xfId="0" applyFill="1" applyBorder="1"/>
    <xf numFmtId="0" fontId="0" fillId="3" borderId="1" xfId="0" applyFill="1" applyBorder="1" applyAlignment="1">
      <alignment wrapText="1"/>
    </xf>
    <xf numFmtId="0" fontId="0" fillId="3" borderId="1" xfId="0" applyFill="1" applyBorder="1"/>
    <xf numFmtId="0" fontId="0" fillId="9" borderId="1" xfId="0" applyFill="1" applyBorder="1" applyAlignment="1">
      <alignment wrapText="1"/>
    </xf>
    <xf numFmtId="0" fontId="0" fillId="9" borderId="1" xfId="0" applyFill="1" applyBorder="1"/>
    <xf numFmtId="0" fontId="0" fillId="10" borderId="1" xfId="0" applyFill="1" applyBorder="1" applyAlignment="1">
      <alignment wrapText="1"/>
    </xf>
    <xf numFmtId="0" fontId="0" fillId="10" borderId="1" xfId="0" applyFill="1" applyBorder="1"/>
    <xf numFmtId="0" fontId="0" fillId="8" borderId="1" xfId="0" applyFill="1" applyBorder="1" applyAlignment="1">
      <alignment horizontal="left" wrapText="1"/>
    </xf>
    <xf numFmtId="0" fontId="0" fillId="9" borderId="1" xfId="0" applyFill="1" applyBorder="1" applyAlignment="1">
      <alignment horizontal="left" wrapText="1"/>
    </xf>
    <xf numFmtId="0" fontId="0" fillId="11" borderId="1" xfId="0" applyFill="1" applyBorder="1" applyAlignment="1">
      <alignment horizontal="left" wrapText="1"/>
    </xf>
    <xf numFmtId="0" fontId="0" fillId="11" borderId="1" xfId="0" applyFill="1" applyBorder="1"/>
    <xf numFmtId="0" fontId="0" fillId="11" borderId="1" xfId="0" applyFill="1" applyBorder="1" applyAlignment="1">
      <alignment wrapText="1"/>
    </xf>
    <xf numFmtId="0" fontId="0" fillId="0" borderId="1" xfId="0" applyBorder="1" applyAlignment="1">
      <alignment horizontal="left" vertical="center"/>
    </xf>
    <xf numFmtId="0" fontId="4" fillId="0" borderId="1" xfId="0" applyFont="1" applyBorder="1" applyAlignment="1">
      <alignment wrapText="1"/>
    </xf>
    <xf numFmtId="0" fontId="4" fillId="0" borderId="1" xfId="0" applyFont="1" applyBorder="1"/>
    <xf numFmtId="0" fontId="0" fillId="0" borderId="1" xfId="0" applyBorder="1" applyAlignment="1">
      <alignment horizontal="left" wrapText="1"/>
    </xf>
    <xf numFmtId="0" fontId="0" fillId="0" borderId="2" xfId="0" applyBorder="1"/>
    <xf numFmtId="3" fontId="0" fillId="0" borderId="2" xfId="0" applyNumberFormat="1" applyBorder="1"/>
    <xf numFmtId="0" fontId="1" fillId="0" borderId="2" xfId="0" applyFont="1" applyBorder="1" applyAlignment="1">
      <alignment wrapText="1"/>
    </xf>
    <xf numFmtId="0" fontId="1" fillId="3" borderId="2" xfId="0" applyFont="1" applyFill="1" applyBorder="1"/>
    <xf numFmtId="0" fontId="1" fillId="0" borderId="11" xfId="0" applyFont="1" applyBorder="1" applyAlignment="1">
      <alignment horizontal="center" wrapText="1"/>
    </xf>
    <xf numFmtId="49" fontId="0" fillId="0" borderId="13" xfId="0" applyNumberFormat="1" applyBorder="1" applyAlignment="1">
      <alignment wrapText="1"/>
    </xf>
    <xf numFmtId="0" fontId="7" fillId="4" borderId="2" xfId="0" applyFont="1" applyFill="1" applyBorder="1"/>
    <xf numFmtId="0" fontId="7" fillId="4" borderId="2" xfId="0" applyFont="1" applyFill="1" applyBorder="1" applyAlignment="1">
      <alignment horizontal="left"/>
    </xf>
    <xf numFmtId="0" fontId="7" fillId="5" borderId="2" xfId="0" applyFont="1" applyFill="1" applyBorder="1"/>
    <xf numFmtId="0" fontId="7" fillId="5" borderId="2" xfId="0" applyFont="1" applyFill="1" applyBorder="1" applyAlignment="1">
      <alignment horizontal="center"/>
    </xf>
    <xf numFmtId="0" fontId="0" fillId="7" borderId="0" xfId="0" applyFill="1"/>
    <xf numFmtId="0" fontId="0" fillId="7" borderId="0" xfId="0" applyFill="1" applyAlignment="1">
      <alignment horizontal="left"/>
    </xf>
    <xf numFmtId="0" fontId="0" fillId="7" borderId="0" xfId="0" applyFill="1" applyAlignment="1">
      <alignment horizontal="center"/>
    </xf>
    <xf numFmtId="49" fontId="0" fillId="7" borderId="6" xfId="0" applyNumberFormat="1" applyFill="1" applyBorder="1" applyAlignment="1">
      <alignment wrapText="1"/>
    </xf>
    <xf numFmtId="49" fontId="0" fillId="7" borderId="12" xfId="0" applyNumberFormat="1" applyFill="1" applyBorder="1" applyAlignment="1">
      <alignment wrapText="1"/>
    </xf>
    <xf numFmtId="49" fontId="0" fillId="7" borderId="13" xfId="0" applyNumberFormat="1" applyFill="1" applyBorder="1" applyAlignment="1">
      <alignment wrapText="1"/>
    </xf>
    <xf numFmtId="0" fontId="1" fillId="7" borderId="2" xfId="0" applyFont="1" applyFill="1" applyBorder="1"/>
    <xf numFmtId="0" fontId="8" fillId="5" borderId="2" xfId="0" applyFont="1" applyFill="1" applyBorder="1"/>
    <xf numFmtId="0" fontId="8" fillId="4" borderId="2" xfId="0" applyFont="1" applyFill="1" applyBorder="1"/>
    <xf numFmtId="0" fontId="8" fillId="4" borderId="2" xfId="0" applyFont="1" applyFill="1" applyBorder="1" applyAlignment="1">
      <alignment horizontal="left"/>
    </xf>
    <xf numFmtId="0" fontId="8" fillId="7" borderId="2" xfId="0" applyFont="1" applyFill="1" applyBorder="1" applyAlignment="1">
      <alignment horizontal="left"/>
    </xf>
    <xf numFmtId="0" fontId="9" fillId="4" borderId="2" xfId="0" applyFont="1" applyFill="1" applyBorder="1" applyAlignment="1">
      <alignment horizontal="left"/>
    </xf>
    <xf numFmtId="0" fontId="8" fillId="0" borderId="0" xfId="0" applyFont="1"/>
    <xf numFmtId="0" fontId="10" fillId="14" borderId="14" xfId="0" applyFont="1" applyFill="1" applyBorder="1" applyAlignment="1">
      <alignment horizontal="left" wrapText="1"/>
    </xf>
    <xf numFmtId="0" fontId="8" fillId="0" borderId="0" xfId="0" applyFont="1" applyAlignment="1">
      <alignment horizontal="left"/>
    </xf>
    <xf numFmtId="22" fontId="8" fillId="0" borderId="0" xfId="0" applyNumberFormat="1" applyFont="1" applyAlignment="1">
      <alignment horizontal="left"/>
    </xf>
    <xf numFmtId="0" fontId="11" fillId="15" borderId="5" xfId="0" applyFont="1" applyFill="1" applyBorder="1" applyAlignment="1">
      <alignment horizontal="left" vertical="center" wrapText="1"/>
    </xf>
    <xf numFmtId="0" fontId="0" fillId="0" borderId="0" xfId="0" applyAlignment="1">
      <alignment horizontal="left" vertical="center" wrapText="1"/>
    </xf>
    <xf numFmtId="0" fontId="11" fillId="15" borderId="1" xfId="0" applyFont="1" applyFill="1" applyBorder="1" applyAlignment="1">
      <alignment horizontal="center" vertical="center" wrapText="1"/>
    </xf>
    <xf numFmtId="0" fontId="12" fillId="17" borderId="3" xfId="0" applyFont="1" applyFill="1" applyBorder="1" applyAlignment="1">
      <alignment horizontal="left" vertical="center" wrapText="1"/>
    </xf>
    <xf numFmtId="0" fontId="12" fillId="0" borderId="3" xfId="0" applyFont="1" applyBorder="1" applyAlignment="1">
      <alignment horizontal="left" vertical="center" wrapText="1"/>
    </xf>
    <xf numFmtId="0" fontId="12" fillId="17" borderId="4" xfId="0" applyFont="1" applyFill="1" applyBorder="1" applyAlignment="1">
      <alignment horizontal="center" vertical="center" wrapText="1"/>
    </xf>
    <xf numFmtId="0" fontId="12" fillId="0" borderId="4" xfId="0" applyFont="1" applyBorder="1" applyAlignment="1">
      <alignment horizontal="center" vertical="center" wrapText="1"/>
    </xf>
    <xf numFmtId="0" fontId="0" fillId="0" borderId="0" xfId="0" applyAlignment="1">
      <alignment horizontal="center" vertical="center" wrapText="1"/>
    </xf>
    <xf numFmtId="0" fontId="11" fillId="16" borderId="5" xfId="0" applyFont="1" applyFill="1" applyBorder="1" applyAlignment="1">
      <alignment horizontal="center" vertical="center" wrapText="1"/>
    </xf>
    <xf numFmtId="0" fontId="11" fillId="5" borderId="3" xfId="0" applyFont="1" applyFill="1" applyBorder="1" applyAlignment="1">
      <alignment horizontal="center" vertical="center" wrapText="1"/>
    </xf>
    <xf numFmtId="0" fontId="11" fillId="4" borderId="3" xfId="0" applyFont="1" applyFill="1" applyBorder="1" applyAlignment="1">
      <alignment horizontal="center" vertical="center" wrapText="1"/>
    </xf>
    <xf numFmtId="0" fontId="14" fillId="18" borderId="19" xfId="0" applyFont="1" applyFill="1" applyBorder="1" applyAlignment="1">
      <alignment vertical="center" wrapText="1"/>
    </xf>
    <xf numFmtId="0" fontId="14" fillId="18" borderId="16" xfId="0" applyFont="1" applyFill="1" applyBorder="1" applyAlignment="1">
      <alignment vertical="center" wrapText="1"/>
    </xf>
    <xf numFmtId="0" fontId="14" fillId="18" borderId="17" xfId="0" applyFont="1" applyFill="1" applyBorder="1" applyAlignment="1">
      <alignment vertical="center" wrapText="1"/>
    </xf>
    <xf numFmtId="0" fontId="13" fillId="18" borderId="15" xfId="0" applyFont="1" applyFill="1" applyBorder="1" applyAlignment="1">
      <alignment horizontal="center" vertical="center" wrapText="1"/>
    </xf>
    <xf numFmtId="0" fontId="14" fillId="18" borderId="18" xfId="0" applyFont="1" applyFill="1" applyBorder="1" applyAlignment="1">
      <alignment horizontal="center" vertical="center" wrapText="1"/>
    </xf>
    <xf numFmtId="0" fontId="13" fillId="18" borderId="16" xfId="0" applyFont="1" applyFill="1" applyBorder="1" applyAlignment="1">
      <alignment horizontal="center" vertical="center" wrapText="1"/>
    </xf>
    <xf numFmtId="0" fontId="13" fillId="18" borderId="17" xfId="0" applyFont="1" applyFill="1" applyBorder="1" applyAlignment="1">
      <alignment horizontal="center" vertical="center" wrapText="1"/>
    </xf>
    <xf numFmtId="0" fontId="1" fillId="13" borderId="21" xfId="0" applyFont="1" applyFill="1" applyBorder="1"/>
    <xf numFmtId="0" fontId="15" fillId="19" borderId="0" xfId="0" applyFont="1" applyFill="1" applyAlignment="1">
      <alignment horizontal="left" vertical="center" indent="2"/>
    </xf>
    <xf numFmtId="0" fontId="15" fillId="19" borderId="0" xfId="0" applyFont="1" applyFill="1" applyAlignment="1">
      <alignment horizontal="left" indent="2"/>
    </xf>
    <xf numFmtId="0" fontId="15" fillId="0" borderId="0" xfId="0" applyFont="1" applyAlignment="1">
      <alignment horizontal="left" indent="2"/>
    </xf>
    <xf numFmtId="0" fontId="6" fillId="20" borderId="0" xfId="0" applyFont="1" applyFill="1" applyAlignment="1">
      <alignment horizontal="center" vertical="center" wrapText="1"/>
    </xf>
    <xf numFmtId="0" fontId="1" fillId="0" borderId="0" xfId="0" applyFont="1" applyAlignment="1">
      <alignment horizontal="left" vertical="center"/>
    </xf>
    <xf numFmtId="0" fontId="1" fillId="0" borderId="0" xfId="0" applyFont="1"/>
    <xf numFmtId="0" fontId="16" fillId="5" borderId="0" xfId="0" applyFont="1" applyFill="1" applyAlignment="1">
      <alignment horizontal="center" vertical="center" wrapText="1"/>
    </xf>
    <xf numFmtId="0" fontId="17" fillId="5" borderId="0" xfId="0" applyFont="1" applyFill="1" applyAlignment="1">
      <alignment horizontal="center" vertical="center" wrapText="1"/>
    </xf>
    <xf numFmtId="0" fontId="0" fillId="0" borderId="22" xfId="0" applyBorder="1" applyAlignment="1" applyProtection="1">
      <alignment horizontal="center"/>
      <protection locked="0"/>
    </xf>
    <xf numFmtId="3" fontId="0" fillId="0" borderId="22" xfId="0" applyNumberFormat="1" applyBorder="1" applyProtection="1">
      <protection locked="0"/>
    </xf>
    <xf numFmtId="0" fontId="18" fillId="21" borderId="0" xfId="0" quotePrefix="1" applyFont="1" applyFill="1" applyAlignment="1">
      <alignment horizontal="left" indent="4"/>
    </xf>
    <xf numFmtId="0" fontId="18" fillId="21" borderId="0" xfId="0" applyFont="1" applyFill="1" applyAlignment="1">
      <alignment horizontal="left" indent="4"/>
    </xf>
    <xf numFmtId="0" fontId="0" fillId="0" borderId="23" xfId="0" applyBorder="1" applyAlignment="1">
      <alignment horizontal="left"/>
    </xf>
    <xf numFmtId="0" fontId="0" fillId="3" borderId="22" xfId="0" applyFill="1" applyBorder="1" applyAlignment="1" applyProtection="1">
      <alignment horizontal="center"/>
      <protection locked="0"/>
    </xf>
    <xf numFmtId="3" fontId="0" fillId="3" borderId="22" xfId="0" applyNumberFormat="1" applyFill="1" applyBorder="1" applyProtection="1">
      <protection locked="0"/>
    </xf>
    <xf numFmtId="0" fontId="0" fillId="21" borderId="0" xfId="0" applyFill="1"/>
    <xf numFmtId="0" fontId="0" fillId="0" borderId="0" xfId="0" pivotButton="1"/>
    <xf numFmtId="165" fontId="0" fillId="0" borderId="0" xfId="0" applyNumberFormat="1"/>
    <xf numFmtId="0" fontId="2" fillId="0" borderId="2" xfId="0" applyFont="1" applyBorder="1"/>
    <xf numFmtId="165" fontId="2" fillId="0" borderId="2" xfId="0" applyNumberFormat="1" applyFont="1" applyBorder="1"/>
    <xf numFmtId="165" fontId="1" fillId="0" borderId="0" xfId="0" applyNumberFormat="1" applyFont="1"/>
    <xf numFmtId="3" fontId="1" fillId="0" borderId="0" xfId="0" applyNumberFormat="1" applyFont="1"/>
    <xf numFmtId="0" fontId="19" fillId="0" borderId="3" xfId="0" applyFont="1" applyBorder="1" applyAlignment="1">
      <alignment horizontal="left" vertical="center" wrapText="1"/>
    </xf>
    <xf numFmtId="0" fontId="1" fillId="2" borderId="2" xfId="0" applyFont="1" applyFill="1" applyBorder="1"/>
    <xf numFmtId="0" fontId="1" fillId="2" borderId="2" xfId="0" applyFont="1" applyFill="1" applyBorder="1" applyAlignment="1">
      <alignment horizontal="center"/>
    </xf>
    <xf numFmtId="0" fontId="1" fillId="2" borderId="2" xfId="0" applyFont="1" applyFill="1" applyBorder="1" applyAlignment="1">
      <alignment horizontal="center" wrapText="1"/>
    </xf>
    <xf numFmtId="0" fontId="0" fillId="0" borderId="2" xfId="0" applyBorder="1" applyAlignment="1">
      <alignment wrapText="1"/>
    </xf>
    <xf numFmtId="0" fontId="12" fillId="7" borderId="3" xfId="0" applyFont="1" applyFill="1" applyBorder="1" applyAlignment="1">
      <alignment horizontal="left" vertical="center" wrapText="1"/>
    </xf>
    <xf numFmtId="2" fontId="0" fillId="0" borderId="0" xfId="0" applyNumberFormat="1"/>
    <xf numFmtId="2" fontId="0" fillId="0" borderId="1" xfId="0" applyNumberFormat="1" applyBorder="1"/>
    <xf numFmtId="165" fontId="0" fillId="0" borderId="1" xfId="0" applyNumberFormat="1" applyBorder="1"/>
    <xf numFmtId="0" fontId="0" fillId="23" borderId="1" xfId="0" applyFill="1" applyBorder="1" applyAlignment="1">
      <alignment horizontal="left"/>
    </xf>
    <xf numFmtId="164" fontId="0" fillId="0" borderId="0" xfId="0" applyNumberFormat="1"/>
    <xf numFmtId="0" fontId="0" fillId="0" borderId="1" xfId="0" applyBorder="1" applyAlignment="1">
      <alignment horizontal="center" vertical="center"/>
    </xf>
    <xf numFmtId="0" fontId="0" fillId="0" borderId="1" xfId="0" pivotButton="1" applyBorder="1" applyAlignment="1">
      <alignment horizontal="center" vertical="center"/>
    </xf>
    <xf numFmtId="0" fontId="1" fillId="22" borderId="1" xfId="0" applyFont="1" applyFill="1" applyBorder="1" applyAlignment="1">
      <alignment horizontal="center" vertical="center"/>
    </xf>
    <xf numFmtId="165" fontId="0" fillId="0" borderId="1" xfId="0" applyNumberFormat="1" applyBorder="1" applyAlignment="1">
      <alignment horizontal="center" vertical="center"/>
    </xf>
    <xf numFmtId="165" fontId="0" fillId="0" borderId="1" xfId="1" applyNumberFormat="1" applyFont="1" applyBorder="1" applyAlignment="1">
      <alignment horizontal="center" vertical="center"/>
    </xf>
    <xf numFmtId="0" fontId="0" fillId="23" borderId="1" xfId="0" applyFill="1" applyBorder="1" applyAlignment="1">
      <alignment horizontal="center" vertical="center"/>
    </xf>
    <xf numFmtId="0" fontId="0" fillId="23" borderId="1" xfId="0" applyFill="1" applyBorder="1"/>
    <xf numFmtId="0" fontId="0" fillId="7" borderId="1" xfId="0" applyFill="1" applyBorder="1" applyAlignment="1">
      <alignment wrapText="1"/>
    </xf>
    <xf numFmtId="165" fontId="0" fillId="0" borderId="1" xfId="0" applyNumberFormat="1" applyBorder="1" applyAlignment="1">
      <alignment horizontal="left" indent="5"/>
    </xf>
    <xf numFmtId="0" fontId="0" fillId="6" borderId="1" xfId="0" applyFill="1" applyBorder="1" applyAlignment="1">
      <alignment wrapText="1"/>
    </xf>
    <xf numFmtId="0" fontId="0" fillId="0" borderId="24" xfId="0" applyBorder="1" applyAlignment="1">
      <alignment wrapText="1"/>
    </xf>
    <xf numFmtId="0" fontId="1" fillId="24" borderId="1" xfId="0" applyFont="1" applyFill="1" applyBorder="1" applyAlignment="1">
      <alignment wrapText="1"/>
    </xf>
    <xf numFmtId="0" fontId="1" fillId="0" borderId="1" xfId="0" applyFont="1" applyBorder="1" applyAlignment="1">
      <alignment wrapText="1"/>
    </xf>
    <xf numFmtId="0" fontId="21" fillId="0" borderId="1" xfId="0" applyFont="1" applyBorder="1" applyAlignment="1">
      <alignment vertical="center" wrapText="1"/>
    </xf>
    <xf numFmtId="0" fontId="22" fillId="0" borderId="1" xfId="0" applyFont="1" applyBorder="1" applyAlignment="1">
      <alignment vertical="center" wrapText="1"/>
    </xf>
    <xf numFmtId="0" fontId="23" fillId="0" borderId="1" xfId="0" applyFont="1" applyBorder="1" applyAlignment="1">
      <alignment vertical="center" wrapText="1"/>
    </xf>
    <xf numFmtId="0" fontId="21" fillId="0" borderId="0" xfId="0" applyFont="1" applyAlignment="1">
      <alignment vertical="center" wrapText="1"/>
    </xf>
    <xf numFmtId="0" fontId="24" fillId="0" borderId="0" xfId="0" applyFont="1" applyAlignment="1">
      <alignment vertical="center"/>
    </xf>
    <xf numFmtId="0" fontId="23" fillId="0" borderId="0" xfId="0" applyFont="1" applyAlignment="1">
      <alignment vertical="center" wrapText="1"/>
    </xf>
    <xf numFmtId="0" fontId="23" fillId="0" borderId="0" xfId="0" applyFont="1" applyAlignment="1">
      <alignment vertical="center"/>
    </xf>
    <xf numFmtId="0" fontId="12" fillId="17" borderId="3" xfId="0" applyFont="1" applyFill="1" applyBorder="1" applyAlignment="1">
      <alignment horizontal="center" vertical="center" wrapText="1"/>
    </xf>
    <xf numFmtId="0" fontId="12" fillId="17" borderId="3" xfId="0" quotePrefix="1" applyFont="1" applyFill="1" applyBorder="1" applyAlignment="1">
      <alignment horizontal="center" vertical="center" wrapText="1"/>
    </xf>
    <xf numFmtId="0" fontId="12" fillId="0" borderId="3" xfId="0" applyFont="1" applyBorder="1" applyAlignment="1">
      <alignment horizontal="center" vertical="center" wrapText="1"/>
    </xf>
    <xf numFmtId="0" fontId="12" fillId="0" borderId="3" xfId="0" quotePrefix="1" applyFont="1" applyBorder="1" applyAlignment="1">
      <alignment horizontal="center" vertical="center" wrapText="1"/>
    </xf>
    <xf numFmtId="49" fontId="12" fillId="0" borderId="3" xfId="0" applyNumberFormat="1" applyFont="1" applyBorder="1" applyAlignment="1">
      <alignment horizontal="center" vertical="center" wrapText="1"/>
    </xf>
    <xf numFmtId="0" fontId="19" fillId="0" borderId="4" xfId="0" applyFont="1" applyBorder="1" applyAlignment="1">
      <alignment horizontal="center" vertical="center" wrapText="1"/>
    </xf>
    <xf numFmtId="0" fontId="25" fillId="5" borderId="3" xfId="0" applyFont="1" applyFill="1" applyBorder="1" applyAlignment="1">
      <alignment horizontal="center" vertical="center" wrapText="1"/>
    </xf>
    <xf numFmtId="0" fontId="25" fillId="4" borderId="3" xfId="0" applyFont="1" applyFill="1" applyBorder="1" applyAlignment="1">
      <alignment horizontal="center" vertical="center" wrapText="1"/>
    </xf>
    <xf numFmtId="0" fontId="28" fillId="0" borderId="3" xfId="0" applyFont="1" applyBorder="1" applyAlignment="1">
      <alignment horizontal="left" vertical="center" wrapText="1"/>
    </xf>
    <xf numFmtId="0" fontId="12" fillId="7" borderId="4" xfId="0" applyFont="1" applyFill="1" applyBorder="1" applyAlignment="1">
      <alignment horizontal="center" vertical="center" wrapText="1"/>
    </xf>
    <xf numFmtId="49" fontId="12" fillId="7" borderId="3" xfId="0" applyNumberFormat="1" applyFont="1" applyFill="1" applyBorder="1" applyAlignment="1">
      <alignment horizontal="center" vertical="center" wrapText="1"/>
    </xf>
    <xf numFmtId="0" fontId="19" fillId="25" borderId="4" xfId="0" applyFont="1" applyFill="1" applyBorder="1" applyAlignment="1">
      <alignment horizontal="center" vertical="center" wrapText="1"/>
    </xf>
    <xf numFmtId="0" fontId="0" fillId="0" borderId="25" xfId="0" applyBorder="1" applyAlignment="1">
      <alignment wrapText="1"/>
    </xf>
    <xf numFmtId="0" fontId="0" fillId="0" borderId="26" xfId="0" applyBorder="1" applyAlignment="1">
      <alignment wrapText="1"/>
    </xf>
    <xf numFmtId="0" fontId="0" fillId="0" borderId="5" xfId="0" applyBorder="1" applyAlignment="1">
      <alignment wrapText="1"/>
    </xf>
    <xf numFmtId="0" fontId="0" fillId="0" borderId="0" xfId="0" applyAlignment="1">
      <alignment wrapText="1"/>
    </xf>
    <xf numFmtId="0" fontId="14" fillId="18" borderId="20" xfId="0" applyFont="1" applyFill="1" applyBorder="1" applyAlignment="1">
      <alignment vertical="center" wrapText="1"/>
    </xf>
    <xf numFmtId="0" fontId="14" fillId="18" borderId="18" xfId="0" applyFont="1" applyFill="1" applyBorder="1" applyAlignment="1">
      <alignment vertical="center" wrapText="1"/>
    </xf>
    <xf numFmtId="0" fontId="14" fillId="18" borderId="20" xfId="0" applyFont="1" applyFill="1" applyBorder="1" applyAlignment="1">
      <alignment horizontal="center" vertical="center" wrapText="1"/>
    </xf>
    <xf numFmtId="0" fontId="14" fillId="18" borderId="18" xfId="0" applyFont="1" applyFill="1" applyBorder="1" applyAlignment="1">
      <alignment horizontal="center" vertical="center" wrapText="1"/>
    </xf>
    <xf numFmtId="0" fontId="1" fillId="0" borderId="9" xfId="0" applyFont="1" applyBorder="1" applyAlignment="1">
      <alignment horizontal="center" wrapText="1"/>
    </xf>
    <xf numFmtId="0" fontId="1" fillId="0" borderId="10" xfId="0" applyFont="1" applyBorder="1" applyAlignment="1">
      <alignment horizontal="center" wrapText="1"/>
    </xf>
    <xf numFmtId="0" fontId="1" fillId="0" borderId="11" xfId="0" applyFont="1" applyBorder="1" applyAlignment="1">
      <alignment horizontal="center" wrapText="1"/>
    </xf>
    <xf numFmtId="0" fontId="0" fillId="0" borderId="1" xfId="0" applyBorder="1" applyAlignment="1">
      <alignment horizontal="center" vertical="center"/>
    </xf>
    <xf numFmtId="0" fontId="0" fillId="0" borderId="1" xfId="0" applyBorder="1" applyAlignment="1">
      <alignment horizontal="center" vertical="center" wrapText="1"/>
    </xf>
  </cellXfs>
  <cellStyles count="2">
    <cellStyle name="Comma" xfId="1" builtinId="3"/>
    <cellStyle name="Normal" xfId="0" builtinId="0"/>
  </cellStyles>
  <dxfs count="34">
    <dxf>
      <font>
        <b val="0"/>
        <i val="0"/>
        <strike val="0"/>
        <condense val="0"/>
        <extend val="0"/>
        <outline val="0"/>
        <shadow val="0"/>
        <u val="none"/>
        <vertAlign val="baseline"/>
        <sz val="11"/>
        <color theme="1"/>
        <name val="Calibri"/>
        <family val="2"/>
        <scheme val="minor"/>
      </font>
      <numFmt numFmtId="30" formatCode="@"/>
      <fill>
        <patternFill patternType="none">
          <fgColor indexed="64"/>
          <bgColor indexed="65"/>
        </patternFill>
      </fill>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30" formatCode="@"/>
      <fill>
        <patternFill patternType="none">
          <fgColor indexed="64"/>
          <bgColor indexed="65"/>
        </patternFill>
      </fill>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30" formatCode="@"/>
      <fill>
        <patternFill patternType="none">
          <fgColor indexed="64"/>
          <bgColor indexed="65"/>
        </patternFill>
      </fill>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30" formatCode="@"/>
      <fill>
        <patternFill patternType="none">
          <fgColor indexed="64"/>
          <bgColor indexed="65"/>
        </patternFill>
      </fill>
      <alignment horizontal="general"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30" formatCode="@"/>
      <fill>
        <patternFill patternType="none">
          <fgColor indexed="64"/>
          <bgColor auto="1"/>
        </patternFill>
      </fill>
      <alignment horizontal="general" vertical="bottom"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numFmt numFmtId="30" formatCode="@"/>
      <fill>
        <patternFill patternType="none">
          <fgColor indexed="64"/>
          <bgColor auto="1"/>
        </patternFill>
      </fill>
      <alignment horizontal="general" vertical="bottom"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numFmt numFmtId="30" formatCode="@"/>
      <fill>
        <patternFill patternType="none">
          <fgColor indexed="64"/>
          <bgColor auto="1"/>
        </patternFill>
      </fill>
      <alignment horizontal="general" vertical="bottom"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numFmt numFmtId="30" formatCode="@"/>
      <fill>
        <patternFill patternType="none">
          <fgColor indexed="64"/>
          <bgColor auto="1"/>
        </patternFill>
      </fill>
      <alignment horizontal="general" vertical="bottom" textRotation="0" wrapText="1" indent="0" justifyLastLine="0" shrinkToFit="0" readingOrder="0"/>
      <border diagonalUp="0" diagonalDown="0" outline="0">
        <left style="thin">
          <color theme="4" tint="0.39997558519241921"/>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numFmt numFmtId="30" formatCode="@"/>
      <fill>
        <patternFill patternType="none">
          <fgColor indexed="64"/>
          <bgColor auto="1"/>
        </patternFill>
      </fill>
      <alignment horizontal="general" vertical="bottom" textRotation="0" wrapText="1" indent="0" justifyLastLine="0" shrinkToFit="0" readingOrder="0"/>
      <border diagonalUp="0" diagonalDown="0" outline="0">
        <left/>
        <right style="thin">
          <color indexed="64"/>
        </right>
        <top/>
        <bottom/>
      </border>
    </dxf>
    <dxf>
      <border outline="0">
        <left style="thin">
          <color indexed="64"/>
        </left>
        <top style="thin">
          <color indexed="64"/>
        </top>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general" vertical="bottom"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general" vertical="bottom" textRotation="0" wrapText="1" indent="0" justifyLastLine="0" shrinkToFit="0" readingOrder="0"/>
      <border diagonalUp="0" diagonalDown="0" outline="0">
        <left style="thin">
          <color indexed="64"/>
        </left>
        <right style="thin">
          <color indexed="64"/>
        </right>
        <top/>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0_);_(* \(#,##0\);_(* &quot;-&quot;??_);_(@_)"/>
    </dxf>
    <dxf>
      <numFmt numFmtId="165" formatCode="_(* #,##0_);_(* \(#,##0\);_(* &quot;-&quot;??_);_(@_)"/>
    </dxf>
    <dxf>
      <numFmt numFmtId="165" formatCode="_(* #,##0_);_(* \(#,##0\);_(* &quot;-&quot;??_);_(@_)"/>
    </dxf>
  </dxfs>
  <tableStyles count="1" defaultTableStyle="TableStyleMedium2" defaultPivotStyle="PivotStyleLight16">
    <tableStyle name="Invisible" pivot="0" table="0" count="0" xr9:uid="{8928C3CF-CADC-4896-B0FF-6E5FDE64B99D}"/>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1-7AF4-4DFC-8AD9-E43A2916BA9D}"/>
              </c:ext>
            </c:extLst>
          </c:dPt>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02-7AF4-4DFC-8AD9-E43A2916BA9D}"/>
              </c:ext>
            </c:extLst>
          </c:dPt>
          <c:dPt>
            <c:idx val="2"/>
            <c:bubble3D val="0"/>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extLst>
              <c:ext xmlns:c16="http://schemas.microsoft.com/office/drawing/2014/chart" uri="{C3380CC4-5D6E-409C-BE32-E72D297353CC}">
                <c16:uniqueId val="{00000003-7AF4-4DFC-8AD9-E43A2916BA9D}"/>
              </c:ext>
            </c:extLst>
          </c:dPt>
          <c:dPt>
            <c:idx val="3"/>
            <c:bubble3D val="0"/>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extLst>
              <c:ext xmlns:c16="http://schemas.microsoft.com/office/drawing/2014/chart" uri="{C3380CC4-5D6E-409C-BE32-E72D297353CC}">
                <c16:uniqueId val="{00000004-7AF4-4DFC-8AD9-E43A2916BA9D}"/>
              </c:ext>
            </c:extLst>
          </c:dPt>
          <c:dPt>
            <c:idx val="4"/>
            <c:bubble3D val="0"/>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extLst>
              <c:ext xmlns:c16="http://schemas.microsoft.com/office/drawing/2014/chart" uri="{C3380CC4-5D6E-409C-BE32-E72D297353CC}">
                <c16:uniqueId val="{00000005-7AF4-4DFC-8AD9-E43A2916BA9D}"/>
              </c:ext>
            </c:extLst>
          </c:dPt>
          <c:dLbls>
            <c:dLbl>
              <c:idx val="0"/>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0"/>
              <c:showBubbleSize val="0"/>
              <c:extLst>
                <c:ext xmlns:c16="http://schemas.microsoft.com/office/drawing/2014/chart" uri="{C3380CC4-5D6E-409C-BE32-E72D297353CC}">
                  <c16:uniqueId val="{00000001-7AF4-4DFC-8AD9-E43A2916BA9D}"/>
                </c:ext>
              </c:extLst>
            </c:dLbl>
            <c:dLbl>
              <c:idx val="1"/>
              <c:spPr>
                <a:solidFill>
                  <a:schemeClr val="lt1">
                    <a:alpha val="90000"/>
                  </a:schemeClr>
                </a:solidFill>
                <a:ln w="12700" cap="flat" cmpd="sng" algn="ctr">
                  <a:solidFill>
                    <a:schemeClr val="accent2"/>
                  </a:solidFill>
                  <a:round/>
                </a:ln>
                <a:effectLst>
                  <a:outerShdw blurRad="50800" dist="38100" dir="2700000" algn="tl" rotWithShape="0">
                    <a:schemeClr val="accent2">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inEnd"/>
              <c:showLegendKey val="0"/>
              <c:showVal val="0"/>
              <c:showCatName val="1"/>
              <c:showSerName val="0"/>
              <c:showPercent val="0"/>
              <c:showBubbleSize val="0"/>
              <c:extLst>
                <c:ext xmlns:c16="http://schemas.microsoft.com/office/drawing/2014/chart" uri="{C3380CC4-5D6E-409C-BE32-E72D297353CC}">
                  <c16:uniqueId val="{00000002-7AF4-4DFC-8AD9-E43A2916BA9D}"/>
                </c:ext>
              </c:extLst>
            </c:dLbl>
            <c:dLbl>
              <c:idx val="2"/>
              <c:spPr>
                <a:solidFill>
                  <a:schemeClr val="lt1">
                    <a:alpha val="90000"/>
                  </a:schemeClr>
                </a:solidFill>
                <a:ln w="12700" cap="flat" cmpd="sng" algn="ctr">
                  <a:solidFill>
                    <a:schemeClr val="accent3"/>
                  </a:solidFill>
                  <a:round/>
                </a:ln>
                <a:effectLst>
                  <a:outerShdw blurRad="50800" dist="38100" dir="2700000" algn="tl" rotWithShape="0">
                    <a:schemeClr val="accent3">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solidFill>
                      <a:effectLst/>
                      <a:latin typeface="+mn-lt"/>
                      <a:ea typeface="+mn-ea"/>
                      <a:cs typeface="+mn-cs"/>
                    </a:defRPr>
                  </a:pPr>
                  <a:endParaRPr lang="en-US"/>
                </a:p>
              </c:txPr>
              <c:dLblPos val="inEnd"/>
              <c:showLegendKey val="0"/>
              <c:showVal val="0"/>
              <c:showCatName val="1"/>
              <c:showSerName val="0"/>
              <c:showPercent val="0"/>
              <c:showBubbleSize val="0"/>
              <c:extLst>
                <c:ext xmlns:c16="http://schemas.microsoft.com/office/drawing/2014/chart" uri="{C3380CC4-5D6E-409C-BE32-E72D297353CC}">
                  <c16:uniqueId val="{00000003-7AF4-4DFC-8AD9-E43A2916BA9D}"/>
                </c:ext>
              </c:extLst>
            </c:dLbl>
            <c:dLbl>
              <c:idx val="3"/>
              <c:spPr>
                <a:solidFill>
                  <a:schemeClr val="lt1">
                    <a:alpha val="90000"/>
                  </a:schemeClr>
                </a:solidFill>
                <a:ln w="12700" cap="flat" cmpd="sng" algn="ctr">
                  <a:solidFill>
                    <a:schemeClr val="accent4"/>
                  </a:solidFill>
                  <a:round/>
                </a:ln>
                <a:effectLst>
                  <a:outerShdw blurRad="50800" dist="38100" dir="2700000" algn="tl" rotWithShape="0">
                    <a:schemeClr val="accent4">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4"/>
                      </a:solidFill>
                      <a:effectLst/>
                      <a:latin typeface="+mn-lt"/>
                      <a:ea typeface="+mn-ea"/>
                      <a:cs typeface="+mn-cs"/>
                    </a:defRPr>
                  </a:pPr>
                  <a:endParaRPr lang="en-US"/>
                </a:p>
              </c:txPr>
              <c:dLblPos val="inEnd"/>
              <c:showLegendKey val="0"/>
              <c:showVal val="0"/>
              <c:showCatName val="1"/>
              <c:showSerName val="0"/>
              <c:showPercent val="0"/>
              <c:showBubbleSize val="0"/>
              <c:extLst>
                <c:ext xmlns:c16="http://schemas.microsoft.com/office/drawing/2014/chart" uri="{C3380CC4-5D6E-409C-BE32-E72D297353CC}">
                  <c16:uniqueId val="{00000004-7AF4-4DFC-8AD9-E43A2916BA9D}"/>
                </c:ext>
              </c:extLst>
            </c:dLbl>
            <c:dLbl>
              <c:idx val="4"/>
              <c:spPr>
                <a:solidFill>
                  <a:schemeClr val="lt1">
                    <a:alpha val="90000"/>
                  </a:schemeClr>
                </a:solidFill>
                <a:ln w="12700" cap="flat" cmpd="sng" algn="ctr">
                  <a:solidFill>
                    <a:schemeClr val="accent5"/>
                  </a:solidFill>
                  <a:round/>
                </a:ln>
                <a:effectLst>
                  <a:outerShdw blurRad="50800" dist="38100" dir="2700000" algn="tl" rotWithShape="0">
                    <a:schemeClr val="accent5">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solidFill>
                      <a:effectLst/>
                      <a:latin typeface="+mn-lt"/>
                      <a:ea typeface="+mn-ea"/>
                      <a:cs typeface="+mn-cs"/>
                    </a:defRPr>
                  </a:pPr>
                  <a:endParaRPr lang="en-US"/>
                </a:p>
              </c:txPr>
              <c:dLblPos val="inEnd"/>
              <c:showLegendKey val="0"/>
              <c:showVal val="0"/>
              <c:showCatName val="1"/>
              <c:showSerName val="0"/>
              <c:showPercent val="0"/>
              <c:showBubbleSize val="0"/>
              <c:extLst>
                <c:ext xmlns:c16="http://schemas.microsoft.com/office/drawing/2014/chart" uri="{C3380CC4-5D6E-409C-BE32-E72D297353CC}">
                  <c16:uniqueId val="{00000005-7AF4-4DFC-8AD9-E43A2916BA9D}"/>
                </c:ext>
              </c:extLst>
            </c:dLbl>
            <c:spPr>
              <a:solidFill>
                <a:sysClr val="window" lastClr="FFFFFF">
                  <a:alpha val="90000"/>
                </a:sysClr>
              </a:solidFill>
              <a:ln w="12700" cap="flat" cmpd="sng" algn="ctr">
                <a:solidFill>
                  <a:srgbClr val="4472C4"/>
                </a:solidFill>
                <a:round/>
              </a:ln>
              <a:effectLst>
                <a:outerShdw blurRad="50800" dist="38100" dir="2700000" algn="tl" rotWithShape="0">
                  <a:srgbClr val="4472C4">
                    <a:lumMod val="75000"/>
                    <a:alpha val="40000"/>
                  </a:srgbClr>
                </a:outerShdw>
              </a:effectLst>
            </c:spPr>
            <c:dLblPos val="inEnd"/>
            <c:showLegendKey val="0"/>
            <c:showVal val="0"/>
            <c:showCatName val="1"/>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VolSummary!$I$14:$I$18</c:f>
              <c:strCache>
                <c:ptCount val="5"/>
                <c:pt idx="0">
                  <c:v>AMEA</c:v>
                </c:pt>
                <c:pt idx="1">
                  <c:v>CA</c:v>
                </c:pt>
                <c:pt idx="2">
                  <c:v>EU</c:v>
                </c:pt>
                <c:pt idx="3">
                  <c:v>LAC</c:v>
                </c:pt>
                <c:pt idx="4">
                  <c:v>US</c:v>
                </c:pt>
              </c:strCache>
            </c:strRef>
          </c:cat>
          <c:val>
            <c:numRef>
              <c:f>VolSummary!$K$14:$K$18</c:f>
              <c:numCache>
                <c:formatCode>_(* #,##0_);_(* \(#,##0\);_(* "-"??_);_(@_)</c:formatCode>
                <c:ptCount val="5"/>
                <c:pt idx="0">
                  <c:v>24915088.665753432</c:v>
                </c:pt>
                <c:pt idx="1">
                  <c:v>962694.84931506845</c:v>
                </c:pt>
                <c:pt idx="2">
                  <c:v>14196368.027397258</c:v>
                </c:pt>
                <c:pt idx="3">
                  <c:v>1543203.6194077807</c:v>
                </c:pt>
                <c:pt idx="4">
                  <c:v>6698739.1780821914</c:v>
                </c:pt>
              </c:numCache>
            </c:numRef>
          </c:val>
          <c:extLst>
            <c:ext xmlns:c16="http://schemas.microsoft.com/office/drawing/2014/chart" uri="{C3380CC4-5D6E-409C-BE32-E72D297353CC}">
              <c16:uniqueId val="{00000000-7AF4-4DFC-8AD9-E43A2916BA9D}"/>
            </c:ext>
          </c:extLst>
        </c:ser>
        <c:dLbls>
          <c:dLblPos val="in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xdr:row>
      <xdr:rowOff>0</xdr:rowOff>
    </xdr:from>
    <xdr:to>
      <xdr:col>7</xdr:col>
      <xdr:colOff>325755</xdr:colOff>
      <xdr:row>23</xdr:row>
      <xdr:rowOff>95250</xdr:rowOff>
    </xdr:to>
    <xdr:pic>
      <xdr:nvPicPr>
        <xdr:cNvPr id="2" name="Picture 1">
          <a:extLst>
            <a:ext uri="{FF2B5EF4-FFF2-40B4-BE49-F238E27FC236}">
              <a16:creationId xmlns:a16="http://schemas.microsoft.com/office/drawing/2014/main" id="{57628AD4-4CE7-508A-54D8-26581EAD678C}"/>
            </a:ext>
          </a:extLst>
        </xdr:cNvPr>
        <xdr:cNvPicPr>
          <a:picLocks noChangeAspect="1"/>
        </xdr:cNvPicPr>
      </xdr:nvPicPr>
      <xdr:blipFill>
        <a:blip xmlns:r="http://schemas.openxmlformats.org/officeDocument/2006/relationships" r:embed="rId1"/>
        <a:stretch>
          <a:fillRect/>
        </a:stretch>
      </xdr:blipFill>
      <xdr:spPr>
        <a:xfrm>
          <a:off x="504825" y="5524500"/>
          <a:ext cx="4572000" cy="495300"/>
        </a:xfrm>
        <a:prstGeom prst="rect">
          <a:avLst/>
        </a:prstGeom>
      </xdr:spPr>
    </xdr:pic>
    <xdr:clientData/>
  </xdr:twoCellAnchor>
  <xdr:twoCellAnchor editAs="oneCell">
    <xdr:from>
      <xdr:col>1</xdr:col>
      <xdr:colOff>0</xdr:colOff>
      <xdr:row>24</xdr:row>
      <xdr:rowOff>0</xdr:rowOff>
    </xdr:from>
    <xdr:to>
      <xdr:col>7</xdr:col>
      <xdr:colOff>325755</xdr:colOff>
      <xdr:row>28</xdr:row>
      <xdr:rowOff>20956</xdr:rowOff>
    </xdr:to>
    <xdr:pic>
      <xdr:nvPicPr>
        <xdr:cNvPr id="3" name="Picture 2">
          <a:extLst>
            <a:ext uri="{FF2B5EF4-FFF2-40B4-BE49-F238E27FC236}">
              <a16:creationId xmlns:a16="http://schemas.microsoft.com/office/drawing/2014/main" id="{505A3704-51A4-C65A-812D-776F96CA8A6B}"/>
            </a:ext>
            <a:ext uri="{147F2762-F138-4A5C-976F-8EAC2B608ADB}">
              <a16:predDERef xmlns:a16="http://schemas.microsoft.com/office/drawing/2014/main" pred="{57628AD4-4CE7-508A-54D8-26581EAD678C}"/>
            </a:ext>
          </a:extLst>
        </xdr:cNvPr>
        <xdr:cNvPicPr>
          <a:picLocks noChangeAspect="1"/>
        </xdr:cNvPicPr>
      </xdr:nvPicPr>
      <xdr:blipFill>
        <a:blip xmlns:r="http://schemas.openxmlformats.org/officeDocument/2006/relationships" r:embed="rId2"/>
        <a:stretch>
          <a:fillRect/>
        </a:stretch>
      </xdr:blipFill>
      <xdr:spPr>
        <a:xfrm>
          <a:off x="504825" y="6096000"/>
          <a:ext cx="4572000" cy="12192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104775</xdr:colOff>
      <xdr:row>51</xdr:row>
      <xdr:rowOff>85725</xdr:rowOff>
    </xdr:from>
    <xdr:to>
      <xdr:col>5</xdr:col>
      <xdr:colOff>390525</xdr:colOff>
      <xdr:row>73</xdr:row>
      <xdr:rowOff>20637</xdr:rowOff>
    </xdr:to>
    <xdr:graphicFrame macro="">
      <xdr:nvGraphicFramePr>
        <xdr:cNvPr id="2" name="Chart 1">
          <a:extLst>
            <a:ext uri="{FF2B5EF4-FFF2-40B4-BE49-F238E27FC236}">
              <a16:creationId xmlns:a16="http://schemas.microsoft.com/office/drawing/2014/main" id="{C65855A7-CAFA-77D5-199D-2AB9CF545C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0</xdr:colOff>
      <xdr:row>52</xdr:row>
      <xdr:rowOff>0</xdr:rowOff>
    </xdr:from>
    <xdr:to>
      <xdr:col>15</xdr:col>
      <xdr:colOff>533400</xdr:colOff>
      <xdr:row>74</xdr:row>
      <xdr:rowOff>47625</xdr:rowOff>
    </xdr:to>
    <xdr:pic>
      <xdr:nvPicPr>
        <xdr:cNvPr id="2" name="Picture 1">
          <a:extLst>
            <a:ext uri="{FF2B5EF4-FFF2-40B4-BE49-F238E27FC236}">
              <a16:creationId xmlns:a16="http://schemas.microsoft.com/office/drawing/2014/main" id="{28AEA821-D7FB-5B3F-0533-789496525779}"/>
            </a:ext>
          </a:extLst>
        </xdr:cNvPr>
        <xdr:cNvPicPr>
          <a:picLocks noChangeAspect="1"/>
        </xdr:cNvPicPr>
      </xdr:nvPicPr>
      <xdr:blipFill>
        <a:blip xmlns:r="http://schemas.openxmlformats.org/officeDocument/2006/relationships" r:embed="rId1"/>
        <a:stretch>
          <a:fillRect/>
        </a:stretch>
      </xdr:blipFill>
      <xdr:spPr>
        <a:xfrm>
          <a:off x="17545050" y="11477625"/>
          <a:ext cx="2971800" cy="45720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Ryan Laurence Pesigan" id="{84BD9942-44A0-4981-A603-F25EB2F582D0}" userId="ryan-laurence.pesigan@fedex.com" providerId="PeoplePicker"/>
  <person displayName="Praveen Moothakurambu (OSV)" id="{D791DAE7-3419-4855-BEBF-5F918A6A09E9}" userId="praveen.moothakurambu.osv@fedex.com" providerId="PeoplePicker"/>
  <person displayName="Ryan Laurence Pesigan" id="{34FE2A97-5474-4B91-ACC7-BCC2D1F91559}" userId="S::ryan-laurence.pesigan@fedex.com::52623ea6-a56b-4cf8-b3aa-009477ad3fd8" providerId="AD"/>
  <person displayName="Praveen Moothakurambu (OSV)" id="{702EE621-5924-4E4A-BB63-C198D46996CD}" userId="S::praveen.moothakurambu.osv@fedex.com::e69c9538-fd4c-48a5-a4a7-0a7257d269f8"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veen Moothakurambu (OSV)" refreshedDate="45315.396421296296" createdVersion="8" refreshedVersion="8" minRefreshableVersion="3" recordCount="216" xr:uid="{59F2025E-9062-4005-A5EC-71C02D42C031}">
  <cacheSource type="worksheet">
    <worksheetSource ref="D1:I217" sheet="CurrentVolume"/>
  </cacheSource>
  <cacheFields count="6">
    <cacheField name="FY" numFmtId="0">
      <sharedItems/>
    </cacheField>
    <cacheField name="Region" numFmtId="0">
      <sharedItems count="5">
        <s v="EU"/>
        <s v="US"/>
        <s v="CA"/>
        <s v="LAC"/>
        <s v="AMEA"/>
      </sharedItems>
    </cacheField>
    <cacheField name="Country" numFmtId="0">
      <sharedItems/>
    </cacheField>
    <cacheField name="OpCo _x000a_(optional)" numFmtId="0">
      <sharedItems containsBlank="1"/>
    </cacheField>
    <cacheField name="Process" numFmtId="0">
      <sharedItems count="2">
        <s v="Import"/>
        <s v="Export"/>
      </sharedItems>
    </cacheField>
    <cacheField name="Volume" numFmtId="3">
      <sharedItems containsString="0" containsBlank="1" containsNumber="1" minValue="1333.0758648947324" maxValue="4849256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ranlal Purushothaman" refreshedDate="45370.405599652775" createdVersion="8" refreshedVersion="8" minRefreshableVersion="3" recordCount="77" xr:uid="{92D151C6-8008-43DF-AF73-22A0BB2C7473}">
  <cacheSource type="worksheet">
    <worksheetSource ref="A4:G81" sheet="Transaction_Volumetric"/>
  </cacheSource>
  <cacheFields count="7">
    <cacheField name="Region" numFmtId="0">
      <sharedItems count="5">
        <s v="AMEA"/>
        <s v="CA"/>
        <s v="EU"/>
        <s v="LAC"/>
        <s v="US"/>
      </sharedItems>
    </cacheField>
    <cacheField name="Country" numFmtId="0">
      <sharedItems count="77">
        <s v="AU"/>
        <s v="CN"/>
        <s v="IN"/>
        <s v="ZA"/>
        <s v="JP"/>
        <s v="HK"/>
        <s v="TH"/>
        <s v="SG"/>
        <s v="KR"/>
        <s v="AE"/>
        <s v="MY"/>
        <s v="TW"/>
        <s v="NZ"/>
        <s v="PH"/>
        <s v="ID"/>
        <s v="VN"/>
        <s v="CA"/>
        <s v="UK"/>
        <s v="DE"/>
        <s v="NL"/>
        <s v="FR"/>
        <s v="IT"/>
        <s v="CH"/>
        <s v="TR"/>
        <s v="ES"/>
        <s v="PL"/>
        <s v="IL"/>
        <s v="BE"/>
        <s v="NO"/>
        <s v="SE"/>
        <s v="IE"/>
        <s v="DK"/>
        <s v="AT"/>
        <s v="CZ"/>
        <s v="PT"/>
        <s v="HU"/>
        <s v="FI"/>
        <s v="UA"/>
        <s v="LT"/>
        <s v="LV"/>
        <s v="GR"/>
        <s v="SK"/>
        <s v="RO"/>
        <s v="EE"/>
        <s v="BG"/>
        <s v="CY"/>
        <s v="LU"/>
        <s v="SI"/>
        <s v="MX"/>
        <s v="BR"/>
        <s v="CO"/>
        <s v="AR"/>
        <s v="GT"/>
        <s v="CL"/>
        <s v="DO"/>
        <s v="CR"/>
        <s v="TT"/>
        <s v="UY"/>
        <s v="VI"/>
        <s v="BM"/>
        <s v="PA"/>
        <s v="KY"/>
        <s v="JM"/>
        <s v="BB"/>
        <s v="BS"/>
        <s v="AW"/>
        <s v="CW"/>
        <s v="LC"/>
        <s v="VG"/>
        <s v="TC"/>
        <s v="SX"/>
        <s v="GP"/>
        <s v="KN"/>
        <s v="GD"/>
        <s v="MQ"/>
        <s v="VC"/>
        <s v="US"/>
      </sharedItems>
    </cacheField>
    <cacheField name="Export/Year" numFmtId="165">
      <sharedItems containsString="0" containsBlank="1" containsNumber="1" minValue="1333.075865" maxValue="30010961"/>
    </cacheField>
    <cacheField name="Import/Year" numFmtId="165">
      <sharedItems containsString="0" containsBlank="1" containsNumber="1" minValue="4707.9535450000003" maxValue="48492568"/>
    </cacheField>
    <cacheField name="Transit/Year" numFmtId="0">
      <sharedItems containsSemiMixedTypes="0" containsString="0" containsNumber="1" containsInteger="1" minValue="0" maxValue="0"/>
    </cacheField>
    <cacheField name="Total/Year" numFmtId="3">
      <sharedItems containsSemiMixedTypes="0" containsString="0" containsNumber="1" minValue="0" maxValue="50215839"/>
    </cacheField>
    <cacheField name="ADV" numFmtId="3">
      <sharedItems containsSemiMixedTypes="0" containsString="0" containsNumber="1" minValue="0" maxValue="137577.641095890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6">
  <r>
    <s v="FY23"/>
    <x v="0"/>
    <s v="AT"/>
    <s v="FD"/>
    <x v="0"/>
    <n v="354175"/>
  </r>
  <r>
    <s v="FY23"/>
    <x v="0"/>
    <s v="BE"/>
    <s v="FD"/>
    <x v="0"/>
    <n v="570745"/>
  </r>
  <r>
    <s v="FY23"/>
    <x v="0"/>
    <s v="BG"/>
    <s v="FD"/>
    <x v="0"/>
    <n v="62182"/>
  </r>
  <r>
    <s v="FY23"/>
    <x v="0"/>
    <s v="CH"/>
    <s v="FD"/>
    <x v="0"/>
    <n v="2133950"/>
  </r>
  <r>
    <s v="FY23"/>
    <x v="0"/>
    <s v="CY"/>
    <s v="FD"/>
    <x v="0"/>
    <n v="69387"/>
  </r>
  <r>
    <s v="FY23"/>
    <x v="0"/>
    <s v="CZ"/>
    <s v="FD"/>
    <x v="0"/>
    <n v="220060"/>
  </r>
  <r>
    <s v="FY23"/>
    <x v="0"/>
    <s v="DE"/>
    <s v="FD"/>
    <x v="0"/>
    <n v="3989225"/>
  </r>
  <r>
    <s v="FY23"/>
    <x v="0"/>
    <s v="DK"/>
    <s v="FD"/>
    <x v="0"/>
    <n v="404875"/>
  </r>
  <r>
    <s v="FY23"/>
    <x v="0"/>
    <s v="EE"/>
    <s v="FD"/>
    <x v="0"/>
    <n v="45682"/>
  </r>
  <r>
    <s v="FY23"/>
    <x v="0"/>
    <s v="ES"/>
    <s v="FD"/>
    <x v="0"/>
    <n v="986178"/>
  </r>
  <r>
    <s v="FY23"/>
    <x v="0"/>
    <s v="FI"/>
    <s v="FD"/>
    <x v="0"/>
    <n v="206703"/>
  </r>
  <r>
    <s v="FY23"/>
    <x v="0"/>
    <s v="FR"/>
    <s v="FD"/>
    <x v="0"/>
    <n v="3177638"/>
  </r>
  <r>
    <s v="FY23"/>
    <x v="0"/>
    <s v="UK"/>
    <s v="FD"/>
    <x v="0"/>
    <n v="2726648"/>
  </r>
  <r>
    <s v="FY23"/>
    <x v="0"/>
    <s v="GR"/>
    <s v="FD"/>
    <x v="0"/>
    <n v="136276"/>
  </r>
  <r>
    <s v="FY23"/>
    <x v="0"/>
    <s v="HU"/>
    <s v="FD"/>
    <x v="0"/>
    <n v="170292"/>
  </r>
  <r>
    <s v="FY23"/>
    <x v="0"/>
    <s v="IE"/>
    <s v="FD"/>
    <x v="0"/>
    <n v="662637"/>
  </r>
  <r>
    <s v="FY23"/>
    <x v="0"/>
    <s v="IL"/>
    <s v="FD"/>
    <x v="0"/>
    <n v="1061116"/>
  </r>
  <r>
    <s v="FY23"/>
    <x v="0"/>
    <s v="IT"/>
    <s v="FD"/>
    <x v="0"/>
    <n v="1500247"/>
  </r>
  <r>
    <s v="FY23"/>
    <x v="0"/>
    <s v="LT"/>
    <s v="FD"/>
    <x v="0"/>
    <n v="59579"/>
  </r>
  <r>
    <s v="FY23"/>
    <x v="0"/>
    <s v="LU"/>
    <s v="FD"/>
    <x v="0"/>
    <n v="62123"/>
  </r>
  <r>
    <s v="FY23"/>
    <x v="0"/>
    <s v="LV"/>
    <s v="FD"/>
    <x v="0"/>
    <n v="44719"/>
  </r>
  <r>
    <s v="FY23"/>
    <x v="0"/>
    <s v="NL"/>
    <s v="FD"/>
    <x v="0"/>
    <n v="1455550"/>
  </r>
  <r>
    <s v="FY23"/>
    <x v="0"/>
    <s v="NO"/>
    <s v="FD"/>
    <x v="0"/>
    <n v="592733"/>
  </r>
  <r>
    <s v="FY23"/>
    <x v="0"/>
    <s v="PL"/>
    <s v="FD"/>
    <x v="0"/>
    <n v="416890"/>
  </r>
  <r>
    <s v="FY23"/>
    <x v="0"/>
    <s v="PT"/>
    <s v="FD"/>
    <x v="0"/>
    <n v="197972"/>
  </r>
  <r>
    <s v="FY23"/>
    <x v="0"/>
    <s v="RO"/>
    <s v="FD"/>
    <x v="0"/>
    <n v="133051"/>
  </r>
  <r>
    <s v="FY23"/>
    <x v="0"/>
    <s v="SE"/>
    <s v="FD"/>
    <x v="0"/>
    <n v="537810"/>
  </r>
  <r>
    <s v="FY23"/>
    <x v="0"/>
    <s v="SI"/>
    <s v="FD"/>
    <x v="0"/>
    <n v="44233"/>
  </r>
  <r>
    <s v="FY23"/>
    <x v="0"/>
    <s v="SK"/>
    <s v="FD"/>
    <x v="0"/>
    <n v="64082"/>
  </r>
  <r>
    <s v="FY23"/>
    <x v="0"/>
    <s v="TR"/>
    <s v="FD"/>
    <x v="0"/>
    <n v="325210"/>
  </r>
  <r>
    <s v="FY22"/>
    <x v="0"/>
    <s v="UA"/>
    <s v="FD"/>
    <x v="0"/>
    <n v="112212"/>
  </r>
  <r>
    <s v="FY23"/>
    <x v="0"/>
    <s v="AT"/>
    <s v="TN"/>
    <x v="0"/>
    <n v="60469"/>
  </r>
  <r>
    <s v="FY23"/>
    <x v="0"/>
    <s v="BE"/>
    <s v="TN"/>
    <x v="0"/>
    <n v="92773"/>
  </r>
  <r>
    <s v="FY23"/>
    <x v="0"/>
    <s v="BG"/>
    <s v="TN"/>
    <x v="0"/>
    <n v="20395"/>
  </r>
  <r>
    <s v="FY23"/>
    <x v="0"/>
    <s v="CH"/>
    <s v="TN"/>
    <x v="0"/>
    <n v="1406444"/>
  </r>
  <r>
    <s v="FY23"/>
    <x v="0"/>
    <s v="CY"/>
    <s v="TN"/>
    <x v="0"/>
    <n v="6964"/>
  </r>
  <r>
    <s v="FY23"/>
    <x v="0"/>
    <s v="CZ"/>
    <s v="TN"/>
    <x v="0"/>
    <n v="70120"/>
  </r>
  <r>
    <s v="FY23"/>
    <x v="0"/>
    <s v="DE"/>
    <s v="TN"/>
    <x v="0"/>
    <n v="407956"/>
  </r>
  <r>
    <s v="FY23"/>
    <x v="0"/>
    <s v="DK"/>
    <s v="TN"/>
    <x v="0"/>
    <n v="81781"/>
  </r>
  <r>
    <s v="FY23"/>
    <x v="0"/>
    <s v="EE"/>
    <s v="TN"/>
    <x v="0"/>
    <n v="13183"/>
  </r>
  <r>
    <s v="FY23"/>
    <x v="0"/>
    <s v="ES"/>
    <s v="TN"/>
    <x v="0"/>
    <n v="135799"/>
  </r>
  <r>
    <s v="FY23"/>
    <x v="0"/>
    <s v="FI"/>
    <s v="TN"/>
    <x v="0"/>
    <n v="38730"/>
  </r>
  <r>
    <s v="FY23"/>
    <x v="0"/>
    <s v="FR"/>
    <s v="TN"/>
    <x v="0"/>
    <n v="242712"/>
  </r>
  <r>
    <s v="FY23"/>
    <x v="0"/>
    <s v="UK"/>
    <s v="TN"/>
    <x v="0"/>
    <n v="1261939"/>
  </r>
  <r>
    <s v="FY23"/>
    <x v="0"/>
    <s v="GR"/>
    <s v="TN"/>
    <x v="0"/>
    <n v="35842"/>
  </r>
  <r>
    <s v="FY23"/>
    <x v="0"/>
    <s v="HU"/>
    <s v="TN"/>
    <x v="0"/>
    <n v="51032"/>
  </r>
  <r>
    <s v="FY23"/>
    <x v="0"/>
    <s v="IE"/>
    <s v="TN"/>
    <x v="0"/>
    <n v="191284"/>
  </r>
  <r>
    <s v="FY23"/>
    <x v="0"/>
    <s v="IL"/>
    <s v="TN"/>
    <x v="0"/>
    <n v="63758"/>
  </r>
  <r>
    <s v="FY23"/>
    <x v="0"/>
    <s v="IT"/>
    <s v="TN"/>
    <x v="0"/>
    <n v="198779"/>
  </r>
  <r>
    <s v="FY23"/>
    <x v="0"/>
    <s v="LT"/>
    <s v="TN"/>
    <x v="0"/>
    <n v="14240"/>
  </r>
  <r>
    <s v="FY23"/>
    <x v="0"/>
    <s v="LU"/>
    <s v="TN"/>
    <x v="0"/>
    <n v="9466"/>
  </r>
  <r>
    <s v="FY23"/>
    <x v="0"/>
    <s v="LV"/>
    <s v="TN"/>
    <x v="0"/>
    <n v="10034"/>
  </r>
  <r>
    <s v="FY23"/>
    <x v="0"/>
    <s v="NL"/>
    <s v="TN"/>
    <x v="0"/>
    <n v="207682"/>
  </r>
  <r>
    <s v="FY23"/>
    <x v="0"/>
    <s v="NO"/>
    <s v="TN"/>
    <x v="0"/>
    <n v="803204"/>
  </r>
  <r>
    <s v="FY23"/>
    <x v="0"/>
    <s v="PL"/>
    <s v="TN"/>
    <x v="0"/>
    <n v="89383"/>
  </r>
  <r>
    <s v="FY23"/>
    <x v="0"/>
    <s v="PT"/>
    <s v="TN"/>
    <x v="0"/>
    <n v="43732"/>
  </r>
  <r>
    <s v="FY23"/>
    <x v="0"/>
    <s v="RO"/>
    <s v="TN"/>
    <x v="0"/>
    <n v="44550"/>
  </r>
  <r>
    <s v="FY23"/>
    <x v="0"/>
    <s v="SE"/>
    <s v="TN"/>
    <x v="0"/>
    <n v="113559"/>
  </r>
  <r>
    <s v="FY23"/>
    <x v="0"/>
    <s v="SI"/>
    <s v="TN"/>
    <x v="0"/>
    <n v="9161"/>
  </r>
  <r>
    <s v="FY23"/>
    <x v="0"/>
    <s v="SK"/>
    <s v="TN"/>
    <x v="0"/>
    <n v="19691"/>
  </r>
  <r>
    <s v="FY23"/>
    <x v="0"/>
    <s v="TR"/>
    <s v="TN"/>
    <x v="0"/>
    <n v="157361"/>
  </r>
  <r>
    <s v="FY22"/>
    <x v="0"/>
    <s v="UA"/>
    <s v="TN"/>
    <x v="0"/>
    <n v="38343"/>
  </r>
  <r>
    <s v="FY23"/>
    <x v="0"/>
    <s v="AT"/>
    <s v="FD"/>
    <x v="1"/>
    <n v="362536"/>
  </r>
  <r>
    <s v="FY23"/>
    <x v="0"/>
    <s v="BE"/>
    <s v="FD"/>
    <x v="1"/>
    <n v="524282"/>
  </r>
  <r>
    <s v="FY23"/>
    <x v="0"/>
    <s v="BG"/>
    <s v="FD"/>
    <x v="1"/>
    <n v="31601"/>
  </r>
  <r>
    <s v="FY23"/>
    <x v="0"/>
    <s v="CH"/>
    <s v="FD"/>
    <x v="1"/>
    <n v="760927"/>
  </r>
  <r>
    <s v="FY23"/>
    <x v="0"/>
    <s v="CY"/>
    <s v="FD"/>
    <x v="1"/>
    <n v="22126"/>
  </r>
  <r>
    <s v="FY23"/>
    <x v="0"/>
    <s v="CZ"/>
    <s v="FD"/>
    <x v="1"/>
    <n v="290598"/>
  </r>
  <r>
    <s v="FY23"/>
    <x v="0"/>
    <s v="DE"/>
    <s v="FD"/>
    <x v="1"/>
    <n v="4679659"/>
  </r>
  <r>
    <s v="FY23"/>
    <x v="0"/>
    <s v="DK"/>
    <s v="FD"/>
    <x v="1"/>
    <n v="520214"/>
  </r>
  <r>
    <s v="FY23"/>
    <x v="0"/>
    <s v="EE"/>
    <s v="FD"/>
    <x v="1"/>
    <n v="111963"/>
  </r>
  <r>
    <s v="FY23"/>
    <x v="0"/>
    <s v="ES"/>
    <s v="FD"/>
    <x v="1"/>
    <n v="1299437"/>
  </r>
  <r>
    <s v="FY23"/>
    <x v="0"/>
    <s v="FI"/>
    <s v="FD"/>
    <x v="1"/>
    <n v="126141"/>
  </r>
  <r>
    <s v="FY23"/>
    <x v="0"/>
    <s v="FR"/>
    <s v="FD"/>
    <x v="1"/>
    <n v="2734178"/>
  </r>
  <r>
    <s v="FY23"/>
    <x v="0"/>
    <s v="UK"/>
    <s v="FD"/>
    <x v="1"/>
    <n v="8859228"/>
  </r>
  <r>
    <s v="FY23"/>
    <x v="0"/>
    <s v="GR"/>
    <s v="FD"/>
    <x v="1"/>
    <n v="114215"/>
  </r>
  <r>
    <s v="FY23"/>
    <x v="0"/>
    <s v="HU"/>
    <s v="FD"/>
    <x v="1"/>
    <n v="215621"/>
  </r>
  <r>
    <s v="FY23"/>
    <x v="0"/>
    <s v="IE"/>
    <s v="FD"/>
    <x v="1"/>
    <n v="421215"/>
  </r>
  <r>
    <s v="FY23"/>
    <x v="0"/>
    <s v="IL"/>
    <s v="FD"/>
    <x v="1"/>
    <n v="741061"/>
  </r>
  <r>
    <s v="FY23"/>
    <x v="0"/>
    <s v="IT"/>
    <s v="FD"/>
    <x v="1"/>
    <n v="3925473"/>
  </r>
  <r>
    <s v="FY23"/>
    <x v="0"/>
    <s v="LT"/>
    <s v="FD"/>
    <x v="1"/>
    <n v="298971"/>
  </r>
  <r>
    <s v="FY23"/>
    <x v="0"/>
    <s v="LU"/>
    <s v="FD"/>
    <x v="1"/>
    <n v="11491"/>
  </r>
  <r>
    <s v="FY23"/>
    <x v="0"/>
    <s v="LV"/>
    <s v="FD"/>
    <x v="1"/>
    <n v="268402"/>
  </r>
  <r>
    <s v="FY23"/>
    <x v="0"/>
    <s v="NL"/>
    <s v="FD"/>
    <x v="1"/>
    <n v="4685174"/>
  </r>
  <r>
    <s v="FY23"/>
    <x v="0"/>
    <s v="NO"/>
    <s v="FD"/>
    <x v="1"/>
    <n v="47794"/>
  </r>
  <r>
    <s v="FY23"/>
    <x v="0"/>
    <s v="PL"/>
    <s v="FD"/>
    <x v="1"/>
    <n v="1458972"/>
  </r>
  <r>
    <s v="FY23"/>
    <x v="0"/>
    <s v="PT"/>
    <s v="FD"/>
    <x v="1"/>
    <n v="267275"/>
  </r>
  <r>
    <s v="FY23"/>
    <x v="0"/>
    <s v="RO"/>
    <s v="FD"/>
    <x v="1"/>
    <n v="18434"/>
  </r>
  <r>
    <s v="FY23"/>
    <x v="0"/>
    <s v="SE"/>
    <s v="FD"/>
    <x v="1"/>
    <n v="631416"/>
  </r>
  <r>
    <s v="FY23"/>
    <x v="0"/>
    <s v="SI"/>
    <s v="FD"/>
    <x v="1"/>
    <n v="12021"/>
  </r>
  <r>
    <s v="FY23"/>
    <x v="0"/>
    <s v="SK"/>
    <s v="FD"/>
    <x v="1"/>
    <n v="127229"/>
  </r>
  <r>
    <s v="FY23"/>
    <x v="0"/>
    <s v="TR"/>
    <s v="FD"/>
    <x v="1"/>
    <n v="4005727"/>
  </r>
  <r>
    <s v="FY22"/>
    <x v="0"/>
    <s v="UA"/>
    <s v="FD"/>
    <x v="1"/>
    <n v="231746"/>
  </r>
  <r>
    <s v="FY23"/>
    <x v="0"/>
    <s v="AT"/>
    <s v="TN"/>
    <x v="1"/>
    <n v="99996"/>
  </r>
  <r>
    <s v="FY23"/>
    <x v="0"/>
    <s v="BE"/>
    <s v="TN"/>
    <x v="1"/>
    <n v="589190"/>
  </r>
  <r>
    <s v="FY23"/>
    <x v="0"/>
    <s v="BG"/>
    <s v="TN"/>
    <x v="1"/>
    <n v="25103"/>
  </r>
  <r>
    <s v="FY23"/>
    <x v="0"/>
    <s v="CH"/>
    <s v="TN"/>
    <x v="1"/>
    <n v="747017"/>
  </r>
  <r>
    <s v="FY23"/>
    <x v="0"/>
    <s v="CY"/>
    <s v="TN"/>
    <x v="1"/>
    <n v="8778"/>
  </r>
  <r>
    <s v="FY23"/>
    <x v="0"/>
    <s v="CZ"/>
    <s v="TN"/>
    <x v="1"/>
    <n v="170098"/>
  </r>
  <r>
    <s v="FY23"/>
    <x v="0"/>
    <s v="DE"/>
    <s v="TN"/>
    <x v="1"/>
    <n v="1307356"/>
  </r>
  <r>
    <s v="FY23"/>
    <x v="0"/>
    <s v="DK"/>
    <s v="TN"/>
    <x v="1"/>
    <n v="178844"/>
  </r>
  <r>
    <s v="FY23"/>
    <x v="0"/>
    <s v="EE"/>
    <s v="TN"/>
    <x v="1"/>
    <n v="18202"/>
  </r>
  <r>
    <s v="FY23"/>
    <x v="0"/>
    <s v="ES"/>
    <s v="TN"/>
    <x v="1"/>
    <n v="243055"/>
  </r>
  <r>
    <s v="FY23"/>
    <x v="0"/>
    <s v="FI"/>
    <s v="TN"/>
    <x v="1"/>
    <n v="109284"/>
  </r>
  <r>
    <s v="FY23"/>
    <x v="0"/>
    <s v="FR"/>
    <s v="TN"/>
    <x v="1"/>
    <n v="315571"/>
  </r>
  <r>
    <s v="FY23"/>
    <x v="0"/>
    <s v="UK"/>
    <s v="TN"/>
    <x v="1"/>
    <n v="1083804"/>
  </r>
  <r>
    <s v="FY23"/>
    <x v="0"/>
    <s v="GR"/>
    <s v="TN"/>
    <x v="1"/>
    <n v="33775"/>
  </r>
  <r>
    <s v="FY23"/>
    <x v="0"/>
    <s v="HU"/>
    <s v="TN"/>
    <x v="1"/>
    <n v="54326"/>
  </r>
  <r>
    <s v="FY23"/>
    <x v="0"/>
    <s v="IE"/>
    <s v="TN"/>
    <x v="1"/>
    <n v="51507"/>
  </r>
  <r>
    <s v="FY23"/>
    <x v="0"/>
    <s v="IL"/>
    <s v="TN"/>
    <x v="1"/>
    <n v="19326"/>
  </r>
  <r>
    <s v="FY23"/>
    <x v="0"/>
    <s v="IT"/>
    <s v="TN"/>
    <x v="1"/>
    <n v="479311"/>
  </r>
  <r>
    <s v="FY23"/>
    <x v="0"/>
    <s v="LT"/>
    <s v="TN"/>
    <x v="1"/>
    <n v="28482"/>
  </r>
  <r>
    <s v="FY23"/>
    <x v="0"/>
    <s v="LU"/>
    <s v="TN"/>
    <x v="1"/>
    <n v="18792"/>
  </r>
  <r>
    <s v="FY23"/>
    <x v="0"/>
    <s v="LV"/>
    <s v="TN"/>
    <x v="1"/>
    <n v="36202"/>
  </r>
  <r>
    <s v="FY23"/>
    <x v="0"/>
    <s v="NL"/>
    <s v="TN"/>
    <x v="1"/>
    <n v="1034663"/>
  </r>
  <r>
    <s v="FY23"/>
    <x v="0"/>
    <s v="NO"/>
    <s v="TN"/>
    <x v="1"/>
    <n v="94146"/>
  </r>
  <r>
    <s v="FY23"/>
    <x v="0"/>
    <s v="PL"/>
    <s v="TN"/>
    <x v="1"/>
    <n v="212996"/>
  </r>
  <r>
    <s v="FY23"/>
    <x v="0"/>
    <s v="PT"/>
    <s v="TN"/>
    <x v="1"/>
    <n v="74758"/>
  </r>
  <r>
    <s v="FY23"/>
    <x v="0"/>
    <s v="RO"/>
    <s v="TN"/>
    <x v="1"/>
    <n v="29754"/>
  </r>
  <r>
    <s v="FY23"/>
    <x v="0"/>
    <s v="SE"/>
    <s v="TN"/>
    <x v="1"/>
    <n v="196706"/>
  </r>
  <r>
    <s v="FY23"/>
    <x v="0"/>
    <s v="SI"/>
    <s v="TN"/>
    <x v="1"/>
    <n v="11642"/>
  </r>
  <r>
    <s v="FY23"/>
    <x v="0"/>
    <s v="SK"/>
    <s v="TN"/>
    <x v="1"/>
    <n v="67374"/>
  </r>
  <r>
    <s v="FY23"/>
    <x v="0"/>
    <s v="TR"/>
    <s v="TN"/>
    <x v="1"/>
    <n v="388839"/>
  </r>
  <r>
    <s v="FY22"/>
    <x v="0"/>
    <s v="UA"/>
    <s v="TN"/>
    <x v="1"/>
    <n v="25349"/>
  </r>
  <r>
    <s v="FY23"/>
    <x v="1"/>
    <s v="US"/>
    <m/>
    <x v="0"/>
    <n v="4918179"/>
  </r>
  <r>
    <s v="FY23"/>
    <x v="1"/>
    <s v="US"/>
    <m/>
    <x v="1"/>
    <n v="30010961"/>
  </r>
  <r>
    <s v="FY23"/>
    <x v="2"/>
    <s v="CA"/>
    <m/>
    <x v="0"/>
    <n v="2504780"/>
  </r>
  <r>
    <s v="FY23"/>
    <x v="2"/>
    <s v="CA"/>
    <m/>
    <x v="1"/>
    <n v="2514986"/>
  </r>
  <r>
    <s v="FY23"/>
    <x v="3"/>
    <s v="MX"/>
    <m/>
    <x v="0"/>
    <n v="2768381.5699649956"/>
  </r>
  <r>
    <s v="FY23"/>
    <x v="3"/>
    <s v="BR"/>
    <m/>
    <x v="0"/>
    <n v="664006.72919904278"/>
  </r>
  <r>
    <s v="FY23"/>
    <x v="3"/>
    <s v="AR"/>
    <m/>
    <x v="0"/>
    <n v="111264.60188077201"/>
  </r>
  <r>
    <s v="FY23"/>
    <x v="3"/>
    <s v="CL"/>
    <m/>
    <x v="0"/>
    <n v="146911.70012275799"/>
  </r>
  <r>
    <s v="FY23"/>
    <x v="3"/>
    <s v="CO"/>
    <m/>
    <x v="0"/>
    <n v="203014.05693930993"/>
  </r>
  <r>
    <s v="FY23"/>
    <x v="3"/>
    <s v="DO"/>
    <m/>
    <x v="0"/>
    <n v="97738.227198883571"/>
  </r>
  <r>
    <s v="FY23"/>
    <x v="3"/>
    <s v="CR"/>
    <m/>
    <x v="0"/>
    <n v="64080.939375496178"/>
  </r>
  <r>
    <s v="FY23"/>
    <x v="3"/>
    <s v="JM"/>
    <m/>
    <x v="0"/>
    <n v="24223.284928845853"/>
  </r>
  <r>
    <s v="FY23"/>
    <x v="3"/>
    <s v="TT"/>
    <m/>
    <x v="0"/>
    <n v="67479.42584052679"/>
  </r>
  <r>
    <s v="FY23"/>
    <x v="3"/>
    <s v="PA"/>
    <m/>
    <x v="0"/>
    <n v="33601.760436663477"/>
  </r>
  <r>
    <s v="FY23"/>
    <x v="3"/>
    <s v="BB"/>
    <m/>
    <x v="0"/>
    <n v="32215.589925705444"/>
  </r>
  <r>
    <s v="FY23"/>
    <x v="3"/>
    <s v="GT"/>
    <m/>
    <x v="0"/>
    <n v="52795.238060935444"/>
  </r>
  <r>
    <s v="FY23"/>
    <x v="3"/>
    <s v="KY"/>
    <m/>
    <x v="0"/>
    <n v="37720.862528664133"/>
  </r>
  <r>
    <s v="FY23"/>
    <x v="3"/>
    <s v="BS"/>
    <m/>
    <x v="0"/>
    <n v="14837.313402405849"/>
  </r>
  <r>
    <s v="FY23"/>
    <x v="3"/>
    <s v="CW"/>
    <m/>
    <x v="0"/>
    <n v="19479.353659822958"/>
  </r>
  <r>
    <s v="FY23"/>
    <x v="3"/>
    <s v="AW"/>
    <m/>
    <x v="0"/>
    <n v="20156.249256585153"/>
  </r>
  <r>
    <s v="FY23"/>
    <x v="3"/>
    <s v="LC"/>
    <m/>
    <x v="0"/>
    <n v="12832.743834591285"/>
  </r>
  <r>
    <s v="FY23"/>
    <x v="3"/>
    <s v="MQ"/>
    <m/>
    <x v="0"/>
    <n v="8194.403068998352"/>
  </r>
  <r>
    <s v="FY23"/>
    <x v="3"/>
    <s v="TC"/>
    <m/>
    <x v="0"/>
    <n v="14163.941327219538"/>
  </r>
  <r>
    <s v="FY23"/>
    <x v="3"/>
    <s v="VI"/>
    <m/>
    <x v="0"/>
    <n v="46744.435035296119"/>
  </r>
  <r>
    <s v="FY23"/>
    <x v="3"/>
    <s v="GP"/>
    <m/>
    <x v="0"/>
    <n v="14645.415999073215"/>
  </r>
  <r>
    <s v="FY23"/>
    <x v="3"/>
    <s v="GD"/>
    <m/>
    <x v="0"/>
    <n v="8960.9247229997272"/>
  </r>
  <r>
    <s v="FY23"/>
    <x v="3"/>
    <s v="UY"/>
    <m/>
    <x v="0"/>
    <n v="39724.367293872732"/>
  </r>
  <r>
    <s v="FY23"/>
    <x v="3"/>
    <s v="BM"/>
    <m/>
    <x v="0"/>
    <n v="43758.991547575533"/>
  </r>
  <r>
    <s v="FY23"/>
    <x v="3"/>
    <s v="VG"/>
    <m/>
    <x v="0"/>
    <n v="15106.694239125029"/>
  </r>
  <r>
    <s v="FY23"/>
    <x v="3"/>
    <s v="KN"/>
    <m/>
    <x v="0"/>
    <n v="11089.708594602349"/>
  </r>
  <r>
    <s v="FY23"/>
    <x v="3"/>
    <s v="SX"/>
    <m/>
    <x v="0"/>
    <n v="11389.180000000004"/>
  </r>
  <r>
    <s v="FY23"/>
    <x v="3"/>
    <s v="MX"/>
    <m/>
    <x v="1"/>
    <n v="1394842.2199526178"/>
  </r>
  <r>
    <s v="FY23"/>
    <x v="3"/>
    <s v="BR"/>
    <m/>
    <x v="1"/>
    <n v="811637.62318684487"/>
  </r>
  <r>
    <s v="FY23"/>
    <x v="3"/>
    <s v="AR"/>
    <m/>
    <x v="1"/>
    <n v="267215.17163928604"/>
  </r>
  <r>
    <s v="FY23"/>
    <x v="3"/>
    <s v="CL"/>
    <m/>
    <x v="1"/>
    <n v="46246.90032444126"/>
  </r>
  <r>
    <s v="FY23"/>
    <x v="3"/>
    <s v="CO"/>
    <m/>
    <x v="1"/>
    <n v="439903.36613263411"/>
  </r>
  <r>
    <s v="FY23"/>
    <x v="3"/>
    <s v="DO"/>
    <m/>
    <x v="1"/>
    <n v="67835.190574677486"/>
  </r>
  <r>
    <s v="FY23"/>
    <x v="3"/>
    <s v="CR"/>
    <m/>
    <x v="1"/>
    <n v="54168.03683801728"/>
  </r>
  <r>
    <s v="FY23"/>
    <x v="3"/>
    <s v="JM"/>
    <m/>
    <x v="1"/>
    <n v="22032.15494587176"/>
  </r>
  <r>
    <s v="FY23"/>
    <x v="3"/>
    <s v="TT"/>
    <m/>
    <x v="1"/>
    <n v="36218.408889175567"/>
  </r>
  <r>
    <s v="FY23"/>
    <x v="3"/>
    <s v="PA"/>
    <m/>
    <x v="1"/>
    <n v="20705.025500478954"/>
  </r>
  <r>
    <s v="FY23"/>
    <x v="3"/>
    <s v="BB"/>
    <m/>
    <x v="1"/>
    <n v="10261.760239619123"/>
  </r>
  <r>
    <s v="FY23"/>
    <x v="3"/>
    <s v="GT"/>
    <m/>
    <x v="1"/>
    <n v="155142.02367259472"/>
  </r>
  <r>
    <s v="FY23"/>
    <x v="3"/>
    <s v="KY"/>
    <m/>
    <x v="1"/>
    <n v="8906.7069533161502"/>
  </r>
  <r>
    <s v="FY23"/>
    <x v="3"/>
    <s v="BS"/>
    <m/>
    <x v="1"/>
    <n v="14490.287743673958"/>
  </r>
  <r>
    <s v="FY23"/>
    <x v="3"/>
    <s v="CW"/>
    <m/>
    <x v="1"/>
    <n v="2891.525997206541"/>
  </r>
  <r>
    <s v="FY23"/>
    <x v="3"/>
    <s v="AW"/>
    <m/>
    <x v="1"/>
    <n v="3772.5482942291678"/>
  </r>
  <r>
    <s v="FY23"/>
    <x v="3"/>
    <s v="LC"/>
    <m/>
    <x v="1"/>
    <n v="7564.8742461650545"/>
  </r>
  <r>
    <s v="FY23"/>
    <x v="3"/>
    <s v="MQ"/>
    <m/>
    <x v="1"/>
    <n v="1337.0148928714457"/>
  </r>
  <r>
    <s v="FY23"/>
    <x v="3"/>
    <s v="TC"/>
    <m/>
    <x v="1"/>
    <n v="2589.9679893385551"/>
  </r>
  <r>
    <s v="FY23"/>
    <x v="3"/>
    <s v="VI"/>
    <m/>
    <x v="1"/>
    <n v="17910.534120992499"/>
  </r>
  <r>
    <s v="FY23"/>
    <x v="3"/>
    <s v="GP"/>
    <m/>
    <x v="1"/>
    <n v="1333.0758648947324"/>
  </r>
  <r>
    <s v="FY23"/>
    <x v="3"/>
    <s v="GD"/>
    <m/>
    <x v="1"/>
    <n v="1571.0968819961126"/>
  </r>
  <r>
    <s v="FY23"/>
    <x v="3"/>
    <s v="UY"/>
    <m/>
    <x v="1"/>
    <n v="44836.361617394461"/>
  </r>
  <r>
    <s v="FY23"/>
    <x v="3"/>
    <s v="BM"/>
    <m/>
    <x v="1"/>
    <n v="10802.584076953572"/>
  </r>
  <r>
    <s v="FY23"/>
    <x v="3"/>
    <s v="VG"/>
    <m/>
    <x v="1"/>
    <n v="3344.5228131257586"/>
  </r>
  <r>
    <s v="FY23"/>
    <x v="3"/>
    <s v="KN"/>
    <m/>
    <x v="1"/>
    <n v="3119.8695790905772"/>
  </r>
  <r>
    <s v="FY23"/>
    <x v="3"/>
    <s v="SX"/>
    <m/>
    <x v="1"/>
    <n v="5168"/>
  </r>
  <r>
    <s v="FY23"/>
    <x v="3"/>
    <s v="VC"/>
    <m/>
    <x v="0"/>
    <n v="4707.9535451951524"/>
  </r>
  <r>
    <s v="FY23"/>
    <x v="3"/>
    <s v="VC"/>
    <m/>
    <x v="1"/>
    <n v="1632.0719935871073"/>
  </r>
  <r>
    <s v="FY21"/>
    <x v="4"/>
    <s v="SG"/>
    <m/>
    <x v="0"/>
    <n v="4104533"/>
  </r>
  <r>
    <s v="FY21"/>
    <x v="4"/>
    <s v="NZ"/>
    <m/>
    <x v="0"/>
    <n v="1510692"/>
  </r>
  <r>
    <s v="FY21"/>
    <x v="4"/>
    <s v="TH"/>
    <m/>
    <x v="0"/>
    <n v="4173314"/>
  </r>
  <r>
    <s v="FY21"/>
    <x v="4"/>
    <s v="MY"/>
    <m/>
    <x v="0"/>
    <n v="3191784"/>
  </r>
  <r>
    <s v="FY21"/>
    <x v="4"/>
    <s v="TW"/>
    <m/>
    <x v="0"/>
    <n v="3140749"/>
  </r>
  <r>
    <s v="FY21"/>
    <x v="4"/>
    <s v="CN"/>
    <m/>
    <x v="0"/>
    <n v="11319730"/>
  </r>
  <r>
    <s v="FY21"/>
    <x v="4"/>
    <s v="AU"/>
    <m/>
    <x v="0"/>
    <n v="48492568"/>
  </r>
  <r>
    <s v="FY21"/>
    <x v="4"/>
    <s v="JP"/>
    <m/>
    <x v="0"/>
    <n v="7079618"/>
  </r>
  <r>
    <s v="FY21"/>
    <x v="4"/>
    <s v="HK"/>
    <m/>
    <x v="0"/>
    <n v="5316427"/>
  </r>
  <r>
    <s v="FY21"/>
    <x v="4"/>
    <s v="KR"/>
    <m/>
    <x v="0"/>
    <n v="4046638"/>
  </r>
  <r>
    <s v="FY21"/>
    <x v="4"/>
    <s v="ID"/>
    <m/>
    <x v="0"/>
    <n v="1042594"/>
  </r>
  <r>
    <s v="FY22"/>
    <x v="4"/>
    <s v="IN"/>
    <m/>
    <x v="0"/>
    <n v="2636567.08"/>
  </r>
  <r>
    <s v="FY22"/>
    <x v="4"/>
    <s v="AE"/>
    <m/>
    <x v="0"/>
    <n v="1709755.4200000002"/>
  </r>
  <r>
    <s v="FY22"/>
    <x v="4"/>
    <s v="ZA"/>
    <m/>
    <x v="0"/>
    <n v="8293380.7899999991"/>
  </r>
  <r>
    <s v="FY21"/>
    <x v="4"/>
    <s v="VN"/>
    <m/>
    <x v="0"/>
    <m/>
  </r>
  <r>
    <s v="FY22"/>
    <x v="4"/>
    <s v="SG"/>
    <m/>
    <x v="1"/>
    <n v="200776"/>
  </r>
  <r>
    <s v="FY22"/>
    <x v="4"/>
    <s v="NZ"/>
    <m/>
    <x v="1"/>
    <n v="27584"/>
  </r>
  <r>
    <s v="FY22"/>
    <x v="4"/>
    <s v="TH"/>
    <m/>
    <x v="1"/>
    <n v="228916"/>
  </r>
  <r>
    <s v="FY22"/>
    <x v="4"/>
    <s v="MY"/>
    <m/>
    <x v="1"/>
    <n v="175211"/>
  </r>
  <r>
    <s v="FY22"/>
    <x v="4"/>
    <s v="TW"/>
    <m/>
    <x v="1"/>
    <n v="158779"/>
  </r>
  <r>
    <s v="FY22"/>
    <x v="4"/>
    <s v="CN"/>
    <m/>
    <x v="1"/>
    <n v="3370921"/>
  </r>
  <r>
    <s v="FY22"/>
    <x v="4"/>
    <s v="AU"/>
    <m/>
    <x v="1"/>
    <n v="1723271"/>
  </r>
  <r>
    <s v="FY22"/>
    <x v="4"/>
    <s v="JP"/>
    <m/>
    <x v="1"/>
    <n v="442094"/>
  </r>
  <r>
    <s v="FY22"/>
    <x v="4"/>
    <s v="HK"/>
    <m/>
    <x v="1"/>
    <n v="638853"/>
  </r>
  <r>
    <s v="FY22"/>
    <x v="4"/>
    <s v="KR"/>
    <m/>
    <x v="1"/>
    <n v="227360"/>
  </r>
  <r>
    <s v="FY22"/>
    <x v="4"/>
    <s v="ID"/>
    <m/>
    <x v="1"/>
    <n v="26049"/>
  </r>
  <r>
    <s v="FY22"/>
    <x v="4"/>
    <s v="IN"/>
    <m/>
    <x v="1"/>
    <n v="11016237.1"/>
  </r>
  <r>
    <s v="FY22"/>
    <x v="4"/>
    <s v="AE"/>
    <m/>
    <x v="1"/>
    <n v="1947717.14"/>
  </r>
  <r>
    <s v="FY22"/>
    <x v="4"/>
    <s v="ZA"/>
    <m/>
    <x v="1"/>
    <n v="2276141.37"/>
  </r>
  <r>
    <s v="FY22"/>
    <x v="4"/>
    <s v="VN"/>
    <m/>
    <x v="1"/>
    <m/>
  </r>
  <r>
    <s v="FY21"/>
    <x v="4"/>
    <s v="PH"/>
    <m/>
    <x v="0"/>
    <n v="1321985"/>
  </r>
  <r>
    <s v="FY22"/>
    <x v="4"/>
    <s v="PH"/>
    <m/>
    <x v="1"/>
    <n v="7414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
  <r>
    <x v="0"/>
    <x v="0"/>
    <n v="1723271"/>
    <n v="48492568"/>
    <n v="0"/>
    <n v="50215839"/>
    <n v="137577.6410958904"/>
  </r>
  <r>
    <x v="0"/>
    <x v="1"/>
    <n v="3370921"/>
    <n v="11319730"/>
    <n v="0"/>
    <n v="14690651"/>
    <n v="40248.358904109591"/>
  </r>
  <r>
    <x v="0"/>
    <x v="2"/>
    <n v="11016237.1"/>
    <n v="2636567.08"/>
    <n v="0"/>
    <n v="13652804.18"/>
    <n v="37404.94295890411"/>
  </r>
  <r>
    <x v="0"/>
    <x v="3"/>
    <n v="2276141.37"/>
    <n v="8293380.79"/>
    <n v="0"/>
    <n v="10569522.16"/>
    <n v="28957.594958904108"/>
  </r>
  <r>
    <x v="0"/>
    <x v="4"/>
    <n v="442094"/>
    <n v="7079618"/>
    <n v="0"/>
    <n v="7521712"/>
    <n v="20607.430136986302"/>
  </r>
  <r>
    <x v="0"/>
    <x v="5"/>
    <n v="638853"/>
    <n v="5316427"/>
    <n v="0"/>
    <n v="5955280"/>
    <n v="16315.835616438357"/>
  </r>
  <r>
    <x v="0"/>
    <x v="6"/>
    <n v="228916"/>
    <n v="4173314"/>
    <n v="0"/>
    <n v="4402230"/>
    <n v="12060.904109589041"/>
  </r>
  <r>
    <x v="0"/>
    <x v="7"/>
    <n v="200776"/>
    <n v="4104533"/>
    <n v="0"/>
    <n v="4305309"/>
    <n v="11795.367123287671"/>
  </r>
  <r>
    <x v="0"/>
    <x v="8"/>
    <n v="227360"/>
    <n v="4046638"/>
    <n v="0"/>
    <n v="4273998"/>
    <n v="11709.583561643836"/>
  </r>
  <r>
    <x v="0"/>
    <x v="9"/>
    <n v="1947717.14"/>
    <n v="1709755.42"/>
    <n v="0"/>
    <n v="3657472.5599999996"/>
    <n v="10020.472767123287"/>
  </r>
  <r>
    <x v="0"/>
    <x v="10"/>
    <n v="175211"/>
    <n v="3191784"/>
    <n v="0"/>
    <n v="3366995"/>
    <n v="9224.6438356164381"/>
  </r>
  <r>
    <x v="0"/>
    <x v="11"/>
    <n v="158779"/>
    <n v="3140749"/>
    <n v="0"/>
    <n v="3299528"/>
    <n v="9039.8027397260266"/>
  </r>
  <r>
    <x v="0"/>
    <x v="12"/>
    <n v="27584"/>
    <n v="1510692"/>
    <n v="0"/>
    <n v="1538276"/>
    <n v="4214.4547945205477"/>
  </r>
  <r>
    <x v="0"/>
    <x v="13"/>
    <n v="74146"/>
    <n v="1321985"/>
    <n v="0"/>
    <n v="1396131"/>
    <n v="3825.0164383561646"/>
  </r>
  <r>
    <x v="0"/>
    <x v="14"/>
    <n v="26049"/>
    <n v="1042594"/>
    <n v="0"/>
    <n v="1068643"/>
    <n v="2927.7890410958903"/>
  </r>
  <r>
    <x v="0"/>
    <x v="15"/>
    <m/>
    <m/>
    <n v="0"/>
    <n v="0"/>
    <n v="0"/>
  </r>
  <r>
    <x v="1"/>
    <x v="16"/>
    <n v="2514986"/>
    <n v="2504780"/>
    <n v="0"/>
    <n v="5019766"/>
    <n v="13752.783561643835"/>
  </r>
  <r>
    <x v="2"/>
    <x v="17"/>
    <n v="9943032"/>
    <n v="3988587"/>
    <n v="0"/>
    <n v="13931619"/>
    <n v="38168.819178082194"/>
  </r>
  <r>
    <x v="2"/>
    <x v="18"/>
    <n v="5987015"/>
    <n v="4397181"/>
    <n v="0"/>
    <n v="10384196"/>
    <n v="28449.852054794519"/>
  </r>
  <r>
    <x v="2"/>
    <x v="19"/>
    <n v="5719837"/>
    <n v="1663232"/>
    <n v="0"/>
    <n v="7383069"/>
    <n v="20227.586301369862"/>
  </r>
  <r>
    <x v="2"/>
    <x v="20"/>
    <n v="3049749"/>
    <n v="3420350"/>
    <n v="0"/>
    <n v="6470099"/>
    <n v="17726.298630136986"/>
  </r>
  <r>
    <x v="2"/>
    <x v="21"/>
    <n v="4404784"/>
    <n v="1699026"/>
    <n v="0"/>
    <n v="6103810"/>
    <n v="16722.767123287671"/>
  </r>
  <r>
    <x v="2"/>
    <x v="22"/>
    <n v="1507944"/>
    <n v="3540394"/>
    <n v="0"/>
    <n v="5048338"/>
    <n v="13831.063013698631"/>
  </r>
  <r>
    <x v="2"/>
    <x v="23"/>
    <n v="4394566"/>
    <n v="482571"/>
    <n v="0"/>
    <n v="4877137"/>
    <n v="13362.019178082192"/>
  </r>
  <r>
    <x v="2"/>
    <x v="24"/>
    <n v="1542492"/>
    <n v="1121977"/>
    <n v="0"/>
    <n v="2664469"/>
    <n v="7299.915068493151"/>
  </r>
  <r>
    <x v="2"/>
    <x v="25"/>
    <n v="1671968"/>
    <n v="506273"/>
    <n v="0"/>
    <n v="2178241"/>
    <n v="5967.783561643836"/>
  </r>
  <r>
    <x v="2"/>
    <x v="26"/>
    <n v="760387"/>
    <n v="1124874"/>
    <n v="0"/>
    <n v="1885261"/>
    <n v="5165.0986301369867"/>
  </r>
  <r>
    <x v="2"/>
    <x v="27"/>
    <n v="1113472"/>
    <n v="663518"/>
    <n v="0"/>
    <n v="1776990"/>
    <n v="4868.4657534246571"/>
  </r>
  <r>
    <x v="2"/>
    <x v="28"/>
    <n v="141940"/>
    <n v="1395937"/>
    <n v="0"/>
    <n v="1537877"/>
    <n v="4213.3616438356166"/>
  </r>
  <r>
    <x v="2"/>
    <x v="29"/>
    <n v="828122"/>
    <n v="651369"/>
    <n v="0"/>
    <n v="1479491"/>
    <n v="4053.4"/>
  </r>
  <r>
    <x v="2"/>
    <x v="30"/>
    <n v="472722"/>
    <n v="853921"/>
    <n v="0"/>
    <n v="1326643"/>
    <n v="3634.6383561643834"/>
  </r>
  <r>
    <x v="2"/>
    <x v="31"/>
    <n v="699058"/>
    <n v="486656"/>
    <n v="0"/>
    <n v="1185714"/>
    <n v="3248.5315068493151"/>
  </r>
  <r>
    <x v="2"/>
    <x v="32"/>
    <n v="462532"/>
    <n v="414644"/>
    <n v="0"/>
    <n v="877176"/>
    <n v="2403.2219178082191"/>
  </r>
  <r>
    <x v="2"/>
    <x v="33"/>
    <n v="460696"/>
    <n v="290180"/>
    <n v="0"/>
    <n v="750876"/>
    <n v="2057.1945205479451"/>
  </r>
  <r>
    <x v="2"/>
    <x v="34"/>
    <n v="342033"/>
    <n v="241704"/>
    <n v="0"/>
    <n v="583737"/>
    <n v="1599.2794520547945"/>
  </r>
  <r>
    <x v="2"/>
    <x v="35"/>
    <n v="269947"/>
    <n v="221324"/>
    <n v="0"/>
    <n v="491271"/>
    <n v="1345.9479452054795"/>
  </r>
  <r>
    <x v="2"/>
    <x v="36"/>
    <n v="235425"/>
    <n v="245433"/>
    <n v="0"/>
    <n v="480858"/>
    <n v="1317.4191780821918"/>
  </r>
  <r>
    <x v="2"/>
    <x v="37"/>
    <n v="257095"/>
    <n v="150555"/>
    <n v="0"/>
    <n v="407650"/>
    <n v="1116.8493150684931"/>
  </r>
  <r>
    <x v="2"/>
    <x v="38"/>
    <n v="327453"/>
    <n v="73819"/>
    <n v="0"/>
    <n v="401272"/>
    <n v="1099.3753424657534"/>
  </r>
  <r>
    <x v="2"/>
    <x v="39"/>
    <n v="304604"/>
    <n v="54753"/>
    <n v="0"/>
    <n v="359357"/>
    <n v="984.53972602739725"/>
  </r>
  <r>
    <x v="2"/>
    <x v="40"/>
    <n v="147990"/>
    <n v="172118"/>
    <n v="0"/>
    <n v="320108"/>
    <n v="877.00821917808219"/>
  </r>
  <r>
    <x v="2"/>
    <x v="41"/>
    <n v="194603"/>
    <n v="83773"/>
    <n v="0"/>
    <n v="278376"/>
    <n v="762.6739726027397"/>
  </r>
  <r>
    <x v="2"/>
    <x v="42"/>
    <n v="48188"/>
    <n v="177601"/>
    <n v="0"/>
    <n v="225789"/>
    <n v="618.6"/>
  </r>
  <r>
    <x v="2"/>
    <x v="43"/>
    <n v="130165"/>
    <n v="58865"/>
    <n v="0"/>
    <n v="189030"/>
    <n v="517.89041095890411"/>
  </r>
  <r>
    <x v="2"/>
    <x v="44"/>
    <n v="56704"/>
    <n v="82577"/>
    <n v="0"/>
    <n v="139281"/>
    <n v="381.59178082191778"/>
  </r>
  <r>
    <x v="2"/>
    <x v="45"/>
    <n v="30904"/>
    <n v="76351"/>
    <n v="0"/>
    <n v="107255"/>
    <n v="293.84931506849313"/>
  </r>
  <r>
    <x v="2"/>
    <x v="46"/>
    <n v="30283"/>
    <n v="71589"/>
    <n v="0"/>
    <n v="101872"/>
    <n v="279.1013698630137"/>
  </r>
  <r>
    <x v="2"/>
    <x v="47"/>
    <n v="23663"/>
    <n v="53394"/>
    <n v="0"/>
    <n v="77057"/>
    <n v="211.11506849315069"/>
  </r>
  <r>
    <x v="3"/>
    <x v="48"/>
    <n v="1394842.22"/>
    <n v="2768381.57"/>
    <n v="0"/>
    <n v="4163223.79"/>
    <n v="11406.092575342465"/>
  </r>
  <r>
    <x v="3"/>
    <x v="49"/>
    <n v="811637.62320000003"/>
    <n v="664006.72919999994"/>
    <n v="0"/>
    <n v="1475644.3524"/>
    <n v="4042.8612394520546"/>
  </r>
  <r>
    <x v="3"/>
    <x v="50"/>
    <n v="439903.36609999998"/>
    <n v="203014.0569"/>
    <n v="0"/>
    <n v="642917.42299999995"/>
    <n v="1761.4175972602739"/>
  </r>
  <r>
    <x v="3"/>
    <x v="51"/>
    <n v="267215.1716"/>
    <n v="111264.60189999999"/>
    <n v="0"/>
    <n v="378479.77350000001"/>
    <n v="1036.9308863013698"/>
  </r>
  <r>
    <x v="3"/>
    <x v="52"/>
    <n v="155142.02369999999"/>
    <n v="52795.238060000003"/>
    <n v="0"/>
    <n v="207937.26175999999"/>
    <n v="569.69112810958904"/>
  </r>
  <r>
    <x v="3"/>
    <x v="53"/>
    <n v="46246.900320000001"/>
    <n v="146911.70009999999"/>
    <n v="0"/>
    <n v="193158.60041999997"/>
    <n v="529.20164498630129"/>
  </r>
  <r>
    <x v="3"/>
    <x v="54"/>
    <n v="67835.190570000006"/>
    <n v="97738.227199999994"/>
    <n v="0"/>
    <n v="165573.41777"/>
    <n v="453.62580210958902"/>
  </r>
  <r>
    <x v="3"/>
    <x v="55"/>
    <n v="54168.036840000001"/>
    <n v="64080.939380000003"/>
    <n v="0"/>
    <n v="118248.97622000001"/>
    <n v="323.96979786301375"/>
  </r>
  <r>
    <x v="3"/>
    <x v="56"/>
    <n v="36218.408889999999"/>
    <n v="67479.425839999996"/>
    <n v="0"/>
    <n v="103697.83473"/>
    <n v="284.10365679452053"/>
  </r>
  <r>
    <x v="3"/>
    <x v="57"/>
    <n v="44836.361620000003"/>
    <n v="39724.367290000002"/>
    <n v="0"/>
    <n v="84560.728910000005"/>
    <n v="231.67322989041097"/>
  </r>
  <r>
    <x v="3"/>
    <x v="58"/>
    <n v="17910.53412"/>
    <n v="46744.435039999997"/>
    <n v="0"/>
    <n v="64654.969159999993"/>
    <n v="177.13690180821916"/>
  </r>
  <r>
    <x v="3"/>
    <x v="59"/>
    <n v="10802.584080000001"/>
    <n v="43758.991549999999"/>
    <n v="0"/>
    <n v="54561.575629999999"/>
    <n v="149.48376884931506"/>
  </r>
  <r>
    <x v="3"/>
    <x v="60"/>
    <n v="20705.0255"/>
    <n v="33601.760439999998"/>
    <n v="0"/>
    <n v="54306.785940000002"/>
    <n v="148.7857149041096"/>
  </r>
  <r>
    <x v="3"/>
    <x v="61"/>
    <n v="8906.7069530000008"/>
    <n v="37720.862529999999"/>
    <n v="0"/>
    <n v="46627.569482999999"/>
    <n v="127.74676570684932"/>
  </r>
  <r>
    <x v="3"/>
    <x v="62"/>
    <n v="22032.15495"/>
    <n v="24223.284930000002"/>
    <n v="0"/>
    <n v="46255.439880000005"/>
    <n v="126.72723254794522"/>
  </r>
  <r>
    <x v="3"/>
    <x v="63"/>
    <n v="10261.76024"/>
    <n v="32215.589929999998"/>
    <n v="0"/>
    <n v="42477.350169999998"/>
    <n v="116.37630183561643"/>
  </r>
  <r>
    <x v="3"/>
    <x v="64"/>
    <n v="14490.28774"/>
    <n v="14837.313399999999"/>
    <n v="0"/>
    <n v="29327.601139999999"/>
    <n v="80.349592164383552"/>
  </r>
  <r>
    <x v="3"/>
    <x v="65"/>
    <n v="3772.5482940000002"/>
    <n v="20156.249260000001"/>
    <n v="0"/>
    <n v="23928.797554000001"/>
    <n v="65.558349463013698"/>
  </r>
  <r>
    <x v="3"/>
    <x v="66"/>
    <n v="2891.5259970000002"/>
    <n v="19479.353660000001"/>
    <n v="0"/>
    <n v="22370.879657000001"/>
    <n v="61.290081252054797"/>
  </r>
  <r>
    <x v="3"/>
    <x v="67"/>
    <n v="7564.8742460000003"/>
    <n v="12832.743829999999"/>
    <n v="0"/>
    <n v="20397.618075999999"/>
    <n v="55.883885139726026"/>
  </r>
  <r>
    <x v="3"/>
    <x v="68"/>
    <n v="3344.522813"/>
    <n v="15106.694240000001"/>
    <n v="0"/>
    <n v="18451.217053"/>
    <n v="50.551279597260276"/>
  </r>
  <r>
    <x v="3"/>
    <x v="69"/>
    <n v="2589.9679890000002"/>
    <n v="14163.94133"/>
    <n v="0"/>
    <n v="16753.909318999999"/>
    <n v="45.901121421917807"/>
  </r>
  <r>
    <x v="3"/>
    <x v="70"/>
    <n v="5168"/>
    <n v="11389.18"/>
    <n v="0"/>
    <n v="16557.18"/>
    <n v="45.362136986301373"/>
  </r>
  <r>
    <x v="3"/>
    <x v="71"/>
    <n v="1333.075865"/>
    <n v="14645.415999999999"/>
    <n v="0"/>
    <n v="15978.491865"/>
    <n v="43.77669004109589"/>
  </r>
  <r>
    <x v="3"/>
    <x v="72"/>
    <n v="3119.8695790000002"/>
    <n v="11089.70859"/>
    <n v="0"/>
    <n v="14209.578169"/>
    <n v="38.93035114794521"/>
  </r>
  <r>
    <x v="3"/>
    <x v="73"/>
    <n v="1571.0968820000001"/>
    <n v="8960.9247230000001"/>
    <n v="0"/>
    <n v="10532.021605"/>
    <n v="28.854853712328765"/>
  </r>
  <r>
    <x v="3"/>
    <x v="74"/>
    <n v="1337.014893"/>
    <n v="8194.403069"/>
    <n v="0"/>
    <n v="9531.4179619999995"/>
    <n v="26.113473868493148"/>
  </r>
  <r>
    <x v="3"/>
    <x v="75"/>
    <n v="1632.0719939999999"/>
    <n v="4707.9535450000003"/>
    <n v="0"/>
    <n v="6340.0255390000002"/>
    <n v="17.369932983561643"/>
  </r>
  <r>
    <x v="4"/>
    <x v="76"/>
    <n v="30010961"/>
    <n v="4918179"/>
    <n v="0"/>
    <n v="34929140"/>
    <n v="95696.27397260273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37DD9A-97AA-498D-ABA5-B7C4EBCBD416}" name="PivotTable2" cacheId="27"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Region" colHeaderCaption="Process">
  <location ref="M2:P9" firstHeaderRow="1" firstDataRow="2" firstDataCol="1"/>
  <pivotFields count="6">
    <pivotField showAll="0"/>
    <pivotField axis="axisRow" showAll="0">
      <items count="6">
        <item x="4"/>
        <item x="2"/>
        <item x="0"/>
        <item x="3"/>
        <item x="1"/>
        <item t="default"/>
      </items>
    </pivotField>
    <pivotField showAll="0"/>
    <pivotField showAll="0"/>
    <pivotField axis="axisCol" showAll="0">
      <items count="3">
        <item x="1"/>
        <item x="0"/>
        <item t="default"/>
      </items>
    </pivotField>
    <pivotField dataField="1" showAll="0"/>
  </pivotFields>
  <rowFields count="1">
    <field x="1"/>
  </rowFields>
  <rowItems count="6">
    <i>
      <x/>
    </i>
    <i>
      <x v="1"/>
    </i>
    <i>
      <x v="2"/>
    </i>
    <i>
      <x v="3"/>
    </i>
    <i>
      <x v="4"/>
    </i>
    <i t="grand">
      <x/>
    </i>
  </rowItems>
  <colFields count="1">
    <field x="4"/>
  </colFields>
  <colItems count="3">
    <i>
      <x/>
    </i>
    <i>
      <x v="1"/>
    </i>
    <i t="grand">
      <x/>
    </i>
  </colItems>
  <dataFields count="1">
    <dataField name="Sum of Volume By Process By Region" fld="5" baseField="0" baseItem="0" numFmtId="165"/>
  </dataFields>
  <formats count="1">
    <format dxfId="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28B0A7-DC85-4D10-918A-4F56B5861188}" name="PivotTable1"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A3:B9" firstHeaderRow="1" firstDataRow="1" firstDataCol="1" rowPageCount="1" colPageCount="1"/>
  <pivotFields count="7">
    <pivotField axis="axisRow" showAll="0">
      <items count="6">
        <item x="0"/>
        <item x="1"/>
        <item x="2"/>
        <item x="3"/>
        <item x="4"/>
        <item t="default"/>
      </items>
    </pivotField>
    <pivotField axis="axisPage" showAll="0">
      <items count="78">
        <item x="9"/>
        <item x="51"/>
        <item x="32"/>
        <item x="0"/>
        <item x="65"/>
        <item x="63"/>
        <item x="27"/>
        <item x="44"/>
        <item x="59"/>
        <item x="49"/>
        <item x="64"/>
        <item x="16"/>
        <item x="22"/>
        <item x="53"/>
        <item x="1"/>
        <item x="50"/>
        <item x="55"/>
        <item x="66"/>
        <item x="45"/>
        <item x="33"/>
        <item x="18"/>
        <item x="31"/>
        <item x="54"/>
        <item x="43"/>
        <item x="24"/>
        <item x="36"/>
        <item x="20"/>
        <item x="73"/>
        <item x="71"/>
        <item x="40"/>
        <item x="52"/>
        <item x="5"/>
        <item x="35"/>
        <item x="14"/>
        <item x="30"/>
        <item x="26"/>
        <item x="2"/>
        <item x="21"/>
        <item x="62"/>
        <item x="4"/>
        <item x="72"/>
        <item x="8"/>
        <item x="61"/>
        <item x="67"/>
        <item x="38"/>
        <item x="46"/>
        <item x="39"/>
        <item x="74"/>
        <item x="48"/>
        <item x="10"/>
        <item x="19"/>
        <item x="28"/>
        <item x="12"/>
        <item x="60"/>
        <item x="13"/>
        <item x="25"/>
        <item x="34"/>
        <item x="42"/>
        <item x="29"/>
        <item x="7"/>
        <item x="47"/>
        <item x="41"/>
        <item x="70"/>
        <item x="69"/>
        <item x="6"/>
        <item x="23"/>
        <item x="56"/>
        <item x="11"/>
        <item x="37"/>
        <item x="17"/>
        <item x="76"/>
        <item x="57"/>
        <item x="75"/>
        <item x="68"/>
        <item x="58"/>
        <item x="15"/>
        <item x="3"/>
        <item t="default"/>
      </items>
    </pivotField>
    <pivotField showAll="0"/>
    <pivotField showAll="0"/>
    <pivotField showAll="0"/>
    <pivotField numFmtId="3" showAll="0"/>
    <pivotField dataField="1" numFmtId="3" showAll="0"/>
  </pivotFields>
  <rowFields count="1">
    <field x="0"/>
  </rowFields>
  <rowItems count="6">
    <i>
      <x/>
    </i>
    <i>
      <x v="1"/>
    </i>
    <i>
      <x v="2"/>
    </i>
    <i>
      <x v="3"/>
    </i>
    <i>
      <x v="4"/>
    </i>
    <i t="grand">
      <x/>
    </i>
  </rowItems>
  <colItems count="1">
    <i/>
  </colItems>
  <pageFields count="1">
    <pageField fld="1" hier="-1"/>
  </pageFields>
  <dataFields count="1">
    <dataField name="Sum of ADV" fld="6" baseField="0" baseItem="0"/>
  </dataFields>
  <formats count="20">
    <format dxfId="32">
      <pivotArea grandRow="1" outline="0" collapsedLevelsAreSubtotals="1" fieldPosition="0"/>
    </format>
    <format dxfId="31">
      <pivotArea collapsedLevelsAreSubtotals="1" fieldPosition="0">
        <references count="1">
          <reference field="0" count="0"/>
        </references>
      </pivotArea>
    </format>
    <format dxfId="30">
      <pivotArea type="all" dataOnly="0" outline="0" fieldPosition="0"/>
    </format>
    <format dxfId="29">
      <pivotArea outline="0" collapsedLevelsAreSubtotals="1" fieldPosition="0"/>
    </format>
    <format dxfId="28">
      <pivotArea field="0" type="button" dataOnly="0" labelOnly="1" outline="0" axis="axisRow" fieldPosition="0"/>
    </format>
    <format dxfId="27">
      <pivotArea dataOnly="0" labelOnly="1" fieldPosition="0">
        <references count="1">
          <reference field="0" count="0"/>
        </references>
      </pivotArea>
    </format>
    <format dxfId="26">
      <pivotArea dataOnly="0" labelOnly="1" grandRow="1" outline="0" fieldPosition="0"/>
    </format>
    <format dxfId="25">
      <pivotArea dataOnly="0" labelOnly="1" outline="0" axis="axisValues" fieldPosition="0"/>
    </format>
    <format dxfId="24">
      <pivotArea type="all" dataOnly="0" outline="0" fieldPosition="0"/>
    </format>
    <format dxfId="23">
      <pivotArea outline="0" collapsedLevelsAreSubtotals="1" fieldPosition="0"/>
    </format>
    <format dxfId="22">
      <pivotArea field="0" type="button" dataOnly="0" labelOnly="1" outline="0" axis="axisRow" fieldPosition="0"/>
    </format>
    <format dxfId="21">
      <pivotArea dataOnly="0" labelOnly="1" fieldPosition="0">
        <references count="1">
          <reference field="0" count="0"/>
        </references>
      </pivotArea>
    </format>
    <format dxfId="20">
      <pivotArea dataOnly="0" labelOnly="1" grandRow="1" outline="0" fieldPosition="0"/>
    </format>
    <format dxfId="19">
      <pivotArea dataOnly="0" labelOnly="1" outline="0" axis="axisValues" fieldPosition="0"/>
    </format>
    <format dxfId="18">
      <pivotArea type="all" dataOnly="0" outline="0" fieldPosition="0"/>
    </format>
    <format dxfId="17">
      <pivotArea outline="0" collapsedLevelsAreSubtotals="1" fieldPosition="0"/>
    </format>
    <format dxfId="16">
      <pivotArea field="0" type="button" dataOnly="0" labelOnly="1" outline="0" axis="axisRow" fieldPosition="0"/>
    </format>
    <format dxfId="15">
      <pivotArea dataOnly="0" labelOnly="1" fieldPosition="0">
        <references count="1">
          <reference field="0" count="0"/>
        </references>
      </pivotArea>
    </format>
    <format dxfId="14">
      <pivotArea dataOnly="0" labelOnly="1" grandRow="1" outline="0" fieldPosition="0"/>
    </format>
    <format dxfId="1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BB103A-5102-4B4D-BDE0-7F44B1CB65CD}" name="Table5" displayName="Table5" ref="A1:I58" totalsRowShown="0" headerRowDxfId="12" dataDxfId="10" headerRowBorderDxfId="11" tableBorderDxfId="9">
  <autoFilter ref="A1:I58" xr:uid="{00000000-0009-0000-0100-000005000000}"/>
  <tableColumns count="9">
    <tableColumn id="1" xr3:uid="{737BF9C5-24EC-4C35-BCE3-34C86402ACBF}" name="Stage" dataDxfId="8"/>
    <tableColumn id="2" xr3:uid="{301F0E5F-AFB5-4B0A-A82A-FA3BB9DE5907}" name="Title" dataDxfId="7"/>
    <tableColumn id="3" xr3:uid="{3F0CCA5C-7CEF-401A-9DB4-87E54B4A3C50}" name="What" dataDxfId="6"/>
    <tableColumn id="4" xr3:uid="{A7015EF6-B38B-466A-9432-6FE83AB209D5}" name="When" dataDxfId="5"/>
    <tableColumn id="5" xr3:uid="{C488540C-76C6-4230-9D1E-1862C741CC1D}" name="Why" dataDxfId="4"/>
    <tableColumn id="6" xr3:uid="{9C06B5E9-4506-4C1C-9DC4-E842C0F32362}" name="Scenario" dataDxfId="3"/>
    <tableColumn id="8" xr3:uid="{16826280-D70A-4853-A98C-45D15BB98708}" name="Data Change on Shipment" dataDxfId="2"/>
    <tableColumn id="10" xr3:uid="{1445AC77-610D-4420-A7F4-5343B73E0C80}" name="Processing Requirement" dataDxfId="1"/>
    <tableColumn id="9" xr3:uid="{AB650689-1DDF-48BA-AF43-379B2600A847}" name="Shipment Domain Event" dataDxfId="0"/>
  </tableColumns>
  <tableStyleInfo name="TableStyleLight20"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12" dT="2023-11-20T06:39:41.07" personId="{34FE2A97-5474-4B91-ACC7-BCC2D1F91559}" id="{5CF8C769-FBCA-4F0F-BF3F-7F48CE790892}">
    <text>@Praveen Moothakurambu (OSV) based on the existing logic from CE event consumer service, this event is not processed. The event will only be saved in the events DB table.</text>
    <mentions>
      <mention mentionpersonId="{D791DAE7-3419-4855-BEBF-5F918A6A09E9}" mentionId="{2CA5C3FC-7FD3-4FAF-96CB-EAC304AA26C5}" startIndex="0" length="28"/>
    </mentions>
  </threadedComment>
  <threadedComment ref="G12" dT="2023-11-20T07:47:10.93" personId="{702EE621-5924-4E4A-BB63-C198D46996CD}" id="{15A0E728-3D51-4557-AD28-7D60039493F3}" parentId="{5CF8C769-FBCA-4F0F-BF3F-7F48CE790892}">
    <text>@Ryan Laurence Pesigan - I thought  the xml message gets converted to Shipment json and save even in case of CE consumer, is that not correct ?  Basically, you are doing a UPSERT of basic shipment details on various CE events</text>
    <mentions>
      <mention mentionpersonId="{84BD9942-44A0-4981-A603-F25EB2F582D0}" mentionId="{51CC6A21-56CA-4C02-8F49-064BC3D3C146}" startIndex="0" length="22"/>
    </mentions>
  </threadedComment>
  <threadedComment ref="G12" dT="2023-11-20T07:56:45.46" personId="{34FE2A97-5474-4B91-ACC7-BCC2D1F91559}" id="{78848EFB-2889-49F7-B424-4228C1DCEC0C}" parentId="{5CF8C769-FBCA-4F0F-BF3F-7F48CE790892}">
    <text>@Praveen Moothakurambu (OSV) yes that is correct for most of the track types but for track type 74, it only saves the converted XML message into ShipmentEvent json into the DB. This means the shipment details from the track type 74 event are never updated to the Shipment.</text>
    <mentions>
      <mention mentionpersonId="{D791DAE7-3419-4855-BEBF-5F918A6A09E9}" mentionId="{37B59C72-1464-4581-946F-9983A049D24E}" startIndex="0" length="28"/>
    </mentions>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 Id="rId4" Type="http://schemas.microsoft.com/office/2017/10/relationships/threadedComment" Target="../threadedComments/threadedComment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B6E9C-3A4D-400D-B43A-A1CDA0C46F02}">
  <sheetPr>
    <tabColor theme="5" tint="-0.249977111117893"/>
  </sheetPr>
  <dimension ref="A1:AB27"/>
  <sheetViews>
    <sheetView showGridLines="0" tabSelected="1" zoomScale="110" zoomScaleNormal="110" workbookViewId="0">
      <pane ySplit="1" topLeftCell="A2" activePane="bottomLeft" state="frozen"/>
      <selection pane="bottomLeft" activeCell="I11" sqref="I11"/>
    </sheetView>
  </sheetViews>
  <sheetFormatPr defaultColWidth="9.33203125" defaultRowHeight="15" customHeight="1" x14ac:dyDescent="0.3"/>
  <cols>
    <col min="1" max="1" width="7.5546875" style="80" customWidth="1"/>
    <col min="2" max="2" width="12.5546875" style="74" bestFit="1" customWidth="1"/>
    <col min="3" max="3" width="12.6640625" style="74" bestFit="1" customWidth="1"/>
    <col min="4" max="4" width="12.5546875" style="74" customWidth="1"/>
    <col min="5" max="5" width="5.5546875" style="74" bestFit="1" customWidth="1"/>
    <col min="6" max="6" width="9.44140625" style="74" bestFit="1" customWidth="1"/>
    <col min="7" max="7" width="10.5546875" style="74" bestFit="1" customWidth="1"/>
    <col min="8" max="8" width="5.5546875" style="74" bestFit="1" customWidth="1"/>
    <col min="9" max="9" width="18.109375" style="80" customWidth="1"/>
    <col min="10" max="10" width="12.33203125" style="80" customWidth="1"/>
    <col min="11" max="11" width="9.6640625" style="80" customWidth="1"/>
    <col min="12" max="12" width="8.6640625" style="80" customWidth="1"/>
    <col min="13" max="13" width="11.44140625" style="80" customWidth="1"/>
    <col min="14" max="14" width="12.33203125" style="80" customWidth="1"/>
    <col min="15" max="15" width="15.109375" style="80" customWidth="1"/>
    <col min="16" max="16" width="17.109375" style="80" customWidth="1"/>
    <col min="17" max="17" width="9.33203125" style="80" customWidth="1"/>
    <col min="18" max="18" width="12.33203125" style="80" customWidth="1"/>
    <col min="19" max="19" width="13.88671875" style="80" customWidth="1"/>
    <col min="20" max="20" width="12.6640625" style="80" customWidth="1"/>
    <col min="21" max="27" width="12.44140625" style="80" customWidth="1"/>
    <col min="28" max="28" width="112.6640625" style="74" bestFit="1" customWidth="1"/>
    <col min="29" max="16384" width="9.33203125" style="74"/>
  </cols>
  <sheetData>
    <row r="1" spans="1:28" ht="20.399999999999999" x14ac:dyDescent="0.3">
      <c r="A1" s="75" t="s">
        <v>0</v>
      </c>
      <c r="B1" s="73" t="s">
        <v>1</v>
      </c>
      <c r="C1" s="73" t="s">
        <v>2</v>
      </c>
      <c r="D1" s="73" t="s">
        <v>3</v>
      </c>
      <c r="E1" s="73" t="s">
        <v>4</v>
      </c>
      <c r="F1" s="73" t="s">
        <v>5</v>
      </c>
      <c r="G1" s="73" t="s">
        <v>6</v>
      </c>
      <c r="H1" s="73" t="s">
        <v>7</v>
      </c>
      <c r="I1" s="81" t="s">
        <v>8</v>
      </c>
      <c r="J1" s="81" t="s">
        <v>9</v>
      </c>
      <c r="K1" s="81" t="s">
        <v>10</v>
      </c>
      <c r="L1" s="81" t="s">
        <v>11</v>
      </c>
      <c r="M1" s="81" t="s">
        <v>12</v>
      </c>
      <c r="N1" s="81" t="s">
        <v>13</v>
      </c>
      <c r="O1" s="81" t="s">
        <v>14</v>
      </c>
      <c r="P1" s="81" t="s">
        <v>15</v>
      </c>
      <c r="Q1" s="81" t="s">
        <v>16</v>
      </c>
      <c r="R1" s="81" t="s">
        <v>17</v>
      </c>
      <c r="S1" s="81" t="s">
        <v>18</v>
      </c>
      <c r="T1" s="81" t="s">
        <v>19</v>
      </c>
      <c r="U1" s="81" t="s">
        <v>20</v>
      </c>
      <c r="V1" s="81" t="s">
        <v>21</v>
      </c>
      <c r="W1" s="81" t="s">
        <v>22</v>
      </c>
      <c r="X1" s="81" t="s">
        <v>23</v>
      </c>
      <c r="Y1" s="81" t="s">
        <v>24</v>
      </c>
      <c r="Z1" s="81" t="s">
        <v>25</v>
      </c>
      <c r="AA1" s="81" t="s">
        <v>26</v>
      </c>
      <c r="AB1" s="73" t="s">
        <v>27</v>
      </c>
    </row>
    <row r="2" spans="1:28" ht="30.6" x14ac:dyDescent="0.3">
      <c r="A2" s="78" t="s">
        <v>28</v>
      </c>
      <c r="B2" s="76" t="s">
        <v>29</v>
      </c>
      <c r="C2" s="145" t="s">
        <v>30</v>
      </c>
      <c r="D2" s="146" t="s">
        <v>31</v>
      </c>
      <c r="E2" s="76" t="s">
        <v>32</v>
      </c>
      <c r="F2" s="76"/>
      <c r="G2" s="76" t="s">
        <v>33</v>
      </c>
      <c r="H2" s="76"/>
      <c r="I2" s="83" t="s">
        <v>34</v>
      </c>
      <c r="J2" s="83" t="s">
        <v>34</v>
      </c>
      <c r="K2" s="83" t="s">
        <v>34</v>
      </c>
      <c r="L2" s="83" t="s">
        <v>34</v>
      </c>
      <c r="M2" s="83" t="s">
        <v>34</v>
      </c>
      <c r="N2" s="83" t="s">
        <v>34</v>
      </c>
      <c r="O2" s="83" t="s">
        <v>34</v>
      </c>
      <c r="P2" s="83" t="s">
        <v>34</v>
      </c>
      <c r="Q2" s="83" t="s">
        <v>34</v>
      </c>
      <c r="R2" s="83" t="s">
        <v>34</v>
      </c>
      <c r="S2" s="83" t="s">
        <v>34</v>
      </c>
      <c r="T2" s="83" t="s">
        <v>34</v>
      </c>
      <c r="U2" s="83" t="s">
        <v>34</v>
      </c>
      <c r="V2" s="83" t="s">
        <v>34</v>
      </c>
      <c r="W2" s="83" t="s">
        <v>34</v>
      </c>
      <c r="X2" s="83" t="s">
        <v>34</v>
      </c>
      <c r="Y2" s="83" t="s">
        <v>34</v>
      </c>
      <c r="Z2" s="83" t="s">
        <v>34</v>
      </c>
      <c r="AA2" s="83" t="s">
        <v>34</v>
      </c>
      <c r="AB2" s="76" t="s">
        <v>35</v>
      </c>
    </row>
    <row r="3" spans="1:28" ht="14.4" x14ac:dyDescent="0.3">
      <c r="A3" s="79"/>
      <c r="B3" s="77" t="s">
        <v>29</v>
      </c>
      <c r="C3" s="147" t="s">
        <v>30</v>
      </c>
      <c r="D3" s="148" t="s">
        <v>31</v>
      </c>
      <c r="E3" s="77" t="s">
        <v>32</v>
      </c>
      <c r="F3" s="77"/>
      <c r="G3" s="119" t="s">
        <v>36</v>
      </c>
      <c r="H3" s="77"/>
      <c r="I3" s="82" t="s">
        <v>37</v>
      </c>
      <c r="J3" s="82" t="s">
        <v>37</v>
      </c>
      <c r="K3" s="82" t="s">
        <v>37</v>
      </c>
      <c r="L3" s="82" t="s">
        <v>37</v>
      </c>
      <c r="M3" s="82" t="s">
        <v>37</v>
      </c>
      <c r="N3" s="82" t="s">
        <v>37</v>
      </c>
      <c r="O3" s="82" t="s">
        <v>37</v>
      </c>
      <c r="P3" s="82" t="s">
        <v>37</v>
      </c>
      <c r="Q3" s="83" t="s">
        <v>34</v>
      </c>
      <c r="R3" s="83" t="s">
        <v>34</v>
      </c>
      <c r="S3" s="82" t="s">
        <v>37</v>
      </c>
      <c r="T3" s="82" t="s">
        <v>37</v>
      </c>
      <c r="U3" s="82" t="s">
        <v>37</v>
      </c>
      <c r="V3" s="83" t="s">
        <v>34</v>
      </c>
      <c r="W3" s="83" t="s">
        <v>34</v>
      </c>
      <c r="X3" s="83" t="s">
        <v>34</v>
      </c>
      <c r="Y3" s="83" t="s">
        <v>34</v>
      </c>
      <c r="Z3" s="83" t="s">
        <v>34</v>
      </c>
      <c r="AA3" s="83" t="s">
        <v>34</v>
      </c>
      <c r="AB3" s="77"/>
    </row>
    <row r="4" spans="1:28" ht="14.4" x14ac:dyDescent="0.3">
      <c r="A4" s="79"/>
      <c r="B4" s="77" t="s">
        <v>29</v>
      </c>
      <c r="C4" s="147" t="s">
        <v>38</v>
      </c>
      <c r="D4" s="147" t="s">
        <v>31</v>
      </c>
      <c r="E4" s="77" t="s">
        <v>32</v>
      </c>
      <c r="F4" s="77"/>
      <c r="G4" s="77" t="s">
        <v>39</v>
      </c>
      <c r="H4" s="77"/>
      <c r="I4" s="82" t="s">
        <v>37</v>
      </c>
      <c r="J4" s="83" t="s">
        <v>34</v>
      </c>
      <c r="K4" s="82" t="s">
        <v>37</v>
      </c>
      <c r="L4" s="83" t="s">
        <v>34</v>
      </c>
      <c r="M4" s="83" t="s">
        <v>34</v>
      </c>
      <c r="N4" s="83" t="s">
        <v>34</v>
      </c>
      <c r="O4" s="83" t="s">
        <v>34</v>
      </c>
      <c r="P4" s="82" t="s">
        <v>37</v>
      </c>
      <c r="Q4" s="83" t="s">
        <v>34</v>
      </c>
      <c r="R4" s="82" t="s">
        <v>37</v>
      </c>
      <c r="S4" s="83" t="s">
        <v>34</v>
      </c>
      <c r="T4" s="83" t="s">
        <v>34</v>
      </c>
      <c r="U4" s="83" t="s">
        <v>34</v>
      </c>
      <c r="V4" s="83" t="s">
        <v>34</v>
      </c>
      <c r="W4" s="83" t="s">
        <v>34</v>
      </c>
      <c r="X4" s="83" t="s">
        <v>34</v>
      </c>
      <c r="Y4" s="83" t="s">
        <v>34</v>
      </c>
      <c r="Z4" s="83" t="s">
        <v>34</v>
      </c>
      <c r="AA4" s="83" t="s">
        <v>34</v>
      </c>
      <c r="AB4" s="77"/>
    </row>
    <row r="5" spans="1:28" ht="20.399999999999999" x14ac:dyDescent="0.3">
      <c r="A5" s="79" t="s">
        <v>28</v>
      </c>
      <c r="B5" s="77" t="s">
        <v>40</v>
      </c>
      <c r="C5" s="147" t="s">
        <v>41</v>
      </c>
      <c r="D5" s="147" t="s">
        <v>31</v>
      </c>
      <c r="E5" s="77" t="s">
        <v>32</v>
      </c>
      <c r="F5" s="77"/>
      <c r="G5" s="77" t="s">
        <v>42</v>
      </c>
      <c r="H5" s="77"/>
      <c r="I5" s="83" t="s">
        <v>34</v>
      </c>
      <c r="J5" s="83" t="s">
        <v>34</v>
      </c>
      <c r="K5" s="82" t="s">
        <v>37</v>
      </c>
      <c r="L5" s="83" t="s">
        <v>34</v>
      </c>
      <c r="M5" s="83" t="s">
        <v>34</v>
      </c>
      <c r="N5" s="83" t="s">
        <v>34</v>
      </c>
      <c r="O5" s="83" t="s">
        <v>34</v>
      </c>
      <c r="P5" s="83" t="s">
        <v>34</v>
      </c>
      <c r="Q5" s="83" t="s">
        <v>34</v>
      </c>
      <c r="R5" s="82" t="s">
        <v>37</v>
      </c>
      <c r="S5" s="83" t="s">
        <v>34</v>
      </c>
      <c r="T5" s="83" t="s">
        <v>34</v>
      </c>
      <c r="U5" s="83" t="s">
        <v>34</v>
      </c>
      <c r="V5" s="83" t="s">
        <v>34</v>
      </c>
      <c r="W5" s="83" t="s">
        <v>34</v>
      </c>
      <c r="X5" s="83" t="s">
        <v>34</v>
      </c>
      <c r="Y5" s="83" t="s">
        <v>34</v>
      </c>
      <c r="Z5" s="83" t="s">
        <v>34</v>
      </c>
      <c r="AA5" s="83" t="s">
        <v>34</v>
      </c>
      <c r="AB5" s="77" t="s">
        <v>43</v>
      </c>
    </row>
    <row r="6" spans="1:28" ht="14.4" x14ac:dyDescent="0.3">
      <c r="A6" s="79" t="s">
        <v>28</v>
      </c>
      <c r="B6" s="77" t="s">
        <v>44</v>
      </c>
      <c r="C6" s="147">
        <v>70</v>
      </c>
      <c r="D6" s="147" t="s">
        <v>31</v>
      </c>
      <c r="E6" s="77" t="s">
        <v>32</v>
      </c>
      <c r="F6" s="77"/>
      <c r="G6" s="77" t="s">
        <v>31</v>
      </c>
      <c r="H6" s="77"/>
      <c r="I6" s="82" t="s">
        <v>37</v>
      </c>
      <c r="J6" s="82" t="s">
        <v>37</v>
      </c>
      <c r="K6" s="83" t="s">
        <v>34</v>
      </c>
      <c r="L6" s="83" t="s">
        <v>34</v>
      </c>
      <c r="M6" s="82" t="s">
        <v>37</v>
      </c>
      <c r="N6" s="83" t="s">
        <v>34</v>
      </c>
      <c r="O6" s="83" t="s">
        <v>34</v>
      </c>
      <c r="P6" s="83" t="s">
        <v>34</v>
      </c>
      <c r="Q6" s="83" t="s">
        <v>34</v>
      </c>
      <c r="R6" s="83" t="s">
        <v>34</v>
      </c>
      <c r="S6" s="83" t="s">
        <v>34</v>
      </c>
      <c r="T6" s="83" t="s">
        <v>34</v>
      </c>
      <c r="U6" s="83" t="s">
        <v>34</v>
      </c>
      <c r="V6" s="83" t="s">
        <v>34</v>
      </c>
      <c r="W6" s="83" t="s">
        <v>34</v>
      </c>
      <c r="X6" s="83" t="s">
        <v>34</v>
      </c>
      <c r="Y6" s="83" t="s">
        <v>34</v>
      </c>
      <c r="Z6" s="83" t="s">
        <v>34</v>
      </c>
      <c r="AA6" s="83" t="s">
        <v>34</v>
      </c>
      <c r="AB6" s="77" t="s">
        <v>45</v>
      </c>
    </row>
    <row r="7" spans="1:28" ht="14.4" x14ac:dyDescent="0.3">
      <c r="A7" s="79" t="s">
        <v>28</v>
      </c>
      <c r="B7" s="77" t="s">
        <v>46</v>
      </c>
      <c r="C7" s="147">
        <v>71</v>
      </c>
      <c r="D7" s="147" t="s">
        <v>31</v>
      </c>
      <c r="E7" s="77" t="s">
        <v>32</v>
      </c>
      <c r="F7" s="77"/>
      <c r="G7" s="77" t="s">
        <v>31</v>
      </c>
      <c r="H7" s="77"/>
      <c r="I7" s="82" t="s">
        <v>37</v>
      </c>
      <c r="J7" s="83" t="s">
        <v>34</v>
      </c>
      <c r="K7" s="83" t="s">
        <v>34</v>
      </c>
      <c r="L7" s="83" t="s">
        <v>34</v>
      </c>
      <c r="M7" s="83" t="s">
        <v>34</v>
      </c>
      <c r="N7" s="83" t="s">
        <v>34</v>
      </c>
      <c r="O7" s="83" t="s">
        <v>34</v>
      </c>
      <c r="P7" s="83" t="s">
        <v>34</v>
      </c>
      <c r="Q7" s="83" t="s">
        <v>34</v>
      </c>
      <c r="R7" s="83" t="s">
        <v>34</v>
      </c>
      <c r="S7" s="83" t="s">
        <v>34</v>
      </c>
      <c r="T7" s="83" t="s">
        <v>34</v>
      </c>
      <c r="U7" s="83" t="s">
        <v>34</v>
      </c>
      <c r="V7" s="83" t="s">
        <v>34</v>
      </c>
      <c r="W7" s="83" t="s">
        <v>34</v>
      </c>
      <c r="X7" s="83" t="s">
        <v>34</v>
      </c>
      <c r="Y7" s="83" t="s">
        <v>34</v>
      </c>
      <c r="Z7" s="83" t="s">
        <v>34</v>
      </c>
      <c r="AA7" s="83" t="s">
        <v>34</v>
      </c>
      <c r="AB7" s="114" t="s">
        <v>47</v>
      </c>
    </row>
    <row r="8" spans="1:28" ht="14.4" x14ac:dyDescent="0.3">
      <c r="A8" s="79" t="s">
        <v>28</v>
      </c>
      <c r="B8" s="77" t="s">
        <v>48</v>
      </c>
      <c r="C8" s="147">
        <v>72</v>
      </c>
      <c r="D8" s="147" t="s">
        <v>31</v>
      </c>
      <c r="E8" s="77" t="s">
        <v>32</v>
      </c>
      <c r="F8" s="77"/>
      <c r="G8" s="77" t="s">
        <v>31</v>
      </c>
      <c r="H8" s="77"/>
      <c r="I8" s="82" t="s">
        <v>37</v>
      </c>
      <c r="J8" s="82" t="s">
        <v>37</v>
      </c>
      <c r="K8" s="83" t="s">
        <v>34</v>
      </c>
      <c r="L8" s="83" t="s">
        <v>34</v>
      </c>
      <c r="M8" s="82" t="s">
        <v>37</v>
      </c>
      <c r="N8" s="83" t="s">
        <v>34</v>
      </c>
      <c r="O8" s="83" t="s">
        <v>34</v>
      </c>
      <c r="P8" s="83" t="s">
        <v>34</v>
      </c>
      <c r="Q8" s="83" t="s">
        <v>34</v>
      </c>
      <c r="R8" s="83" t="s">
        <v>34</v>
      </c>
      <c r="S8" s="83" t="s">
        <v>34</v>
      </c>
      <c r="T8" s="83" t="s">
        <v>34</v>
      </c>
      <c r="U8" s="83" t="s">
        <v>34</v>
      </c>
      <c r="V8" s="83" t="s">
        <v>34</v>
      </c>
      <c r="W8" s="83" t="s">
        <v>34</v>
      </c>
      <c r="X8" s="83" t="s">
        <v>34</v>
      </c>
      <c r="Y8" s="83" t="s">
        <v>34</v>
      </c>
      <c r="Z8" s="83" t="s">
        <v>34</v>
      </c>
      <c r="AA8" s="83" t="s">
        <v>34</v>
      </c>
      <c r="AB8" s="77" t="s">
        <v>45</v>
      </c>
    </row>
    <row r="9" spans="1:28" ht="14.4" x14ac:dyDescent="0.3">
      <c r="A9" s="79" t="s">
        <v>28</v>
      </c>
      <c r="B9" s="77" t="s">
        <v>49</v>
      </c>
      <c r="C9" s="147">
        <v>73</v>
      </c>
      <c r="D9" s="147" t="s">
        <v>31</v>
      </c>
      <c r="E9" s="77" t="s">
        <v>32</v>
      </c>
      <c r="F9" s="77"/>
      <c r="G9" s="77" t="s">
        <v>31</v>
      </c>
      <c r="H9" s="77"/>
      <c r="I9" s="82" t="s">
        <v>37</v>
      </c>
      <c r="J9" s="82" t="s">
        <v>37</v>
      </c>
      <c r="K9" s="83" t="s">
        <v>34</v>
      </c>
      <c r="L9" s="83" t="s">
        <v>34</v>
      </c>
      <c r="M9" s="82" t="s">
        <v>37</v>
      </c>
      <c r="N9" s="83" t="s">
        <v>34</v>
      </c>
      <c r="O9" s="83" t="s">
        <v>34</v>
      </c>
      <c r="P9" s="83" t="s">
        <v>34</v>
      </c>
      <c r="Q9" s="83" t="s">
        <v>34</v>
      </c>
      <c r="R9" s="83" t="s">
        <v>34</v>
      </c>
      <c r="S9" s="83" t="s">
        <v>34</v>
      </c>
      <c r="T9" s="83" t="s">
        <v>34</v>
      </c>
      <c r="U9" s="83" t="s">
        <v>34</v>
      </c>
      <c r="V9" s="83" t="s">
        <v>34</v>
      </c>
      <c r="W9" s="83" t="s">
        <v>34</v>
      </c>
      <c r="X9" s="83" t="s">
        <v>34</v>
      </c>
      <c r="Y9" s="83" t="s">
        <v>34</v>
      </c>
      <c r="Z9" s="83" t="s">
        <v>34</v>
      </c>
      <c r="AA9" s="83" t="s">
        <v>34</v>
      </c>
      <c r="AB9" s="77" t="s">
        <v>45</v>
      </c>
    </row>
    <row r="10" spans="1:28" ht="14.4" x14ac:dyDescent="0.3">
      <c r="A10" s="79" t="s">
        <v>28</v>
      </c>
      <c r="B10" s="77" t="s">
        <v>50</v>
      </c>
      <c r="C10" s="147">
        <v>74</v>
      </c>
      <c r="D10" s="147" t="s">
        <v>31</v>
      </c>
      <c r="E10" s="77" t="s">
        <v>32</v>
      </c>
      <c r="F10" s="77"/>
      <c r="G10" s="77" t="s">
        <v>31</v>
      </c>
      <c r="H10" s="77"/>
      <c r="I10" s="82" t="s">
        <v>37</v>
      </c>
      <c r="J10" s="83" t="s">
        <v>34</v>
      </c>
      <c r="K10" s="83" t="s">
        <v>34</v>
      </c>
      <c r="L10" s="83" t="s">
        <v>34</v>
      </c>
      <c r="M10" s="83" t="s">
        <v>34</v>
      </c>
      <c r="N10" s="83" t="s">
        <v>34</v>
      </c>
      <c r="O10" s="83" t="s">
        <v>34</v>
      </c>
      <c r="P10" s="83" t="s">
        <v>34</v>
      </c>
      <c r="Q10" s="83" t="s">
        <v>34</v>
      </c>
      <c r="R10" s="83" t="s">
        <v>34</v>
      </c>
      <c r="S10" s="83" t="s">
        <v>34</v>
      </c>
      <c r="T10" s="83" t="s">
        <v>34</v>
      </c>
      <c r="U10" s="83" t="s">
        <v>34</v>
      </c>
      <c r="V10" s="83" t="s">
        <v>34</v>
      </c>
      <c r="W10" s="83" t="s">
        <v>34</v>
      </c>
      <c r="X10" s="83" t="s">
        <v>34</v>
      </c>
      <c r="Y10" s="83" t="s">
        <v>34</v>
      </c>
      <c r="Z10" s="83" t="s">
        <v>34</v>
      </c>
      <c r="AA10" s="83" t="s">
        <v>34</v>
      </c>
      <c r="AB10" s="77" t="s">
        <v>51</v>
      </c>
    </row>
    <row r="11" spans="1:28" ht="30.6" x14ac:dyDescent="0.3">
      <c r="A11" s="79" t="s">
        <v>28</v>
      </c>
      <c r="B11" s="77" t="s">
        <v>52</v>
      </c>
      <c r="C11" s="149" t="s">
        <v>53</v>
      </c>
      <c r="D11" s="149" t="s">
        <v>54</v>
      </c>
      <c r="E11" s="77" t="s">
        <v>32</v>
      </c>
      <c r="F11" s="77"/>
      <c r="G11" s="77" t="s">
        <v>31</v>
      </c>
      <c r="H11" s="77"/>
      <c r="I11" s="82" t="s">
        <v>37</v>
      </c>
      <c r="J11" s="82" t="s">
        <v>37</v>
      </c>
      <c r="K11" s="83" t="s">
        <v>34</v>
      </c>
      <c r="L11" s="83" t="s">
        <v>34</v>
      </c>
      <c r="M11" s="83" t="s">
        <v>34</v>
      </c>
      <c r="N11" s="82" t="s">
        <v>37</v>
      </c>
      <c r="O11" s="83" t="s">
        <v>34</v>
      </c>
      <c r="P11" s="82" t="s">
        <v>37</v>
      </c>
      <c r="Q11" s="82" t="s">
        <v>37</v>
      </c>
      <c r="R11" s="82" t="s">
        <v>37</v>
      </c>
      <c r="S11" s="83" t="s">
        <v>34</v>
      </c>
      <c r="T11" s="83" t="s">
        <v>34</v>
      </c>
      <c r="U11" s="82" t="s">
        <v>37</v>
      </c>
      <c r="V11" s="83" t="s">
        <v>34</v>
      </c>
      <c r="W11" s="83" t="s">
        <v>34</v>
      </c>
      <c r="X11" s="83" t="s">
        <v>34</v>
      </c>
      <c r="Y11" s="83" t="s">
        <v>34</v>
      </c>
      <c r="Z11" s="83" t="s">
        <v>34</v>
      </c>
      <c r="AA11" s="83" t="s">
        <v>34</v>
      </c>
      <c r="AB11" s="77" t="s">
        <v>55</v>
      </c>
    </row>
    <row r="12" spans="1:28" ht="30.6" x14ac:dyDescent="0.3">
      <c r="A12" s="79" t="s">
        <v>28</v>
      </c>
      <c r="B12" s="77" t="s">
        <v>52</v>
      </c>
      <c r="C12" s="149" t="s">
        <v>56</v>
      </c>
      <c r="D12" s="149" t="s">
        <v>57</v>
      </c>
      <c r="E12" s="77" t="s">
        <v>32</v>
      </c>
      <c r="F12" s="77"/>
      <c r="G12" s="77" t="s">
        <v>31</v>
      </c>
      <c r="H12" s="77"/>
      <c r="I12" s="82" t="s">
        <v>37</v>
      </c>
      <c r="J12" s="82" t="s">
        <v>37</v>
      </c>
      <c r="K12" s="83" t="s">
        <v>34</v>
      </c>
      <c r="L12" s="83" t="s">
        <v>34</v>
      </c>
      <c r="M12" s="83" t="s">
        <v>34</v>
      </c>
      <c r="N12" s="82" t="s">
        <v>37</v>
      </c>
      <c r="O12" s="83" t="s">
        <v>34</v>
      </c>
      <c r="P12" s="82" t="s">
        <v>37</v>
      </c>
      <c r="Q12" s="82" t="s">
        <v>37</v>
      </c>
      <c r="R12" s="82" t="s">
        <v>37</v>
      </c>
      <c r="S12" s="83" t="s">
        <v>34</v>
      </c>
      <c r="T12" s="83" t="s">
        <v>34</v>
      </c>
      <c r="U12" s="82" t="s">
        <v>37</v>
      </c>
      <c r="V12" s="83" t="s">
        <v>34</v>
      </c>
      <c r="W12" s="83" t="s">
        <v>34</v>
      </c>
      <c r="X12" s="83" t="s">
        <v>34</v>
      </c>
      <c r="Y12" s="83" t="s">
        <v>34</v>
      </c>
      <c r="Z12" s="83" t="s">
        <v>34</v>
      </c>
      <c r="AA12" s="83" t="s">
        <v>34</v>
      </c>
      <c r="AB12" s="77" t="s">
        <v>55</v>
      </c>
    </row>
    <row r="13" spans="1:28" ht="14.4" x14ac:dyDescent="0.3">
      <c r="A13" s="79" t="s">
        <v>28</v>
      </c>
      <c r="B13" s="77" t="s">
        <v>52</v>
      </c>
      <c r="C13" s="149" t="s">
        <v>58</v>
      </c>
      <c r="D13" s="149" t="s">
        <v>59</v>
      </c>
      <c r="E13" s="77" t="s">
        <v>32</v>
      </c>
      <c r="F13" s="77"/>
      <c r="G13" s="77" t="s">
        <v>31</v>
      </c>
      <c r="H13" s="77"/>
      <c r="I13" s="82" t="s">
        <v>37</v>
      </c>
      <c r="J13" s="82" t="s">
        <v>37</v>
      </c>
      <c r="K13" s="83" t="s">
        <v>34</v>
      </c>
      <c r="L13" s="83" t="s">
        <v>34</v>
      </c>
      <c r="M13" s="83" t="s">
        <v>34</v>
      </c>
      <c r="N13" s="82" t="s">
        <v>37</v>
      </c>
      <c r="O13" s="83" t="s">
        <v>34</v>
      </c>
      <c r="P13" s="82" t="s">
        <v>37</v>
      </c>
      <c r="Q13" s="82" t="s">
        <v>37</v>
      </c>
      <c r="R13" s="82" t="s">
        <v>37</v>
      </c>
      <c r="S13" s="83" t="s">
        <v>34</v>
      </c>
      <c r="T13" s="83" t="s">
        <v>34</v>
      </c>
      <c r="U13" s="82" t="s">
        <v>37</v>
      </c>
      <c r="V13" s="83" t="s">
        <v>34</v>
      </c>
      <c r="W13" s="83" t="s">
        <v>34</v>
      </c>
      <c r="X13" s="83" t="s">
        <v>34</v>
      </c>
      <c r="Y13" s="83" t="s">
        <v>34</v>
      </c>
      <c r="Z13" s="83" t="s">
        <v>34</v>
      </c>
      <c r="AA13" s="83" t="s">
        <v>34</v>
      </c>
      <c r="AB13" s="77" t="s">
        <v>55</v>
      </c>
    </row>
    <row r="14" spans="1:28" ht="30.6" x14ac:dyDescent="0.3">
      <c r="A14" s="79" t="s">
        <v>28</v>
      </c>
      <c r="B14" s="77" t="s">
        <v>52</v>
      </c>
      <c r="C14" s="149" t="s">
        <v>60</v>
      </c>
      <c r="D14" s="149" t="s">
        <v>31</v>
      </c>
      <c r="E14" s="77" t="s">
        <v>32</v>
      </c>
      <c r="F14" s="77"/>
      <c r="G14" s="77" t="s">
        <v>31</v>
      </c>
      <c r="H14" s="77"/>
      <c r="I14" s="82" t="s">
        <v>37</v>
      </c>
      <c r="J14" s="82" t="s">
        <v>37</v>
      </c>
      <c r="K14" s="83" t="s">
        <v>34</v>
      </c>
      <c r="L14" s="83" t="s">
        <v>34</v>
      </c>
      <c r="M14" s="83" t="s">
        <v>34</v>
      </c>
      <c r="N14" s="82" t="s">
        <v>37</v>
      </c>
      <c r="O14" s="83" t="s">
        <v>34</v>
      </c>
      <c r="P14" s="82" t="s">
        <v>37</v>
      </c>
      <c r="Q14" s="82" t="s">
        <v>37</v>
      </c>
      <c r="R14" s="82" t="s">
        <v>37</v>
      </c>
      <c r="S14" s="83" t="s">
        <v>34</v>
      </c>
      <c r="T14" s="83" t="s">
        <v>34</v>
      </c>
      <c r="U14" s="82" t="s">
        <v>37</v>
      </c>
      <c r="V14" s="83" t="s">
        <v>34</v>
      </c>
      <c r="W14" s="83" t="s">
        <v>34</v>
      </c>
      <c r="X14" s="83" t="s">
        <v>34</v>
      </c>
      <c r="Y14" s="83" t="s">
        <v>34</v>
      </c>
      <c r="Z14" s="83" t="s">
        <v>34</v>
      </c>
      <c r="AA14" s="83" t="s">
        <v>34</v>
      </c>
      <c r="AB14" s="77" t="s">
        <v>55</v>
      </c>
    </row>
    <row r="15" spans="1:28" ht="14.4" x14ac:dyDescent="0.3">
      <c r="A15" s="150"/>
      <c r="B15" s="77" t="s">
        <v>52</v>
      </c>
      <c r="C15" s="149" t="s">
        <v>61</v>
      </c>
      <c r="D15" s="149"/>
      <c r="E15" s="77" t="s">
        <v>32</v>
      </c>
      <c r="F15" s="114"/>
      <c r="G15" s="114" t="s">
        <v>31</v>
      </c>
      <c r="H15" s="114"/>
      <c r="I15" s="151" t="s">
        <v>37</v>
      </c>
      <c r="J15" s="151" t="s">
        <v>37</v>
      </c>
      <c r="K15" s="152" t="s">
        <v>34</v>
      </c>
      <c r="L15" s="152" t="s">
        <v>34</v>
      </c>
      <c r="M15" s="152" t="s">
        <v>34</v>
      </c>
      <c r="N15" s="151" t="s">
        <v>37</v>
      </c>
      <c r="O15" s="152" t="s">
        <v>34</v>
      </c>
      <c r="P15" s="151" t="s">
        <v>37</v>
      </c>
      <c r="Q15" s="151" t="s">
        <v>37</v>
      </c>
      <c r="R15" s="151" t="s">
        <v>37</v>
      </c>
      <c r="S15" s="152" t="s">
        <v>34</v>
      </c>
      <c r="T15" s="152" t="s">
        <v>34</v>
      </c>
      <c r="U15" s="151" t="s">
        <v>37</v>
      </c>
      <c r="V15" s="83" t="s">
        <v>34</v>
      </c>
      <c r="W15" s="83" t="s">
        <v>34</v>
      </c>
      <c r="X15" s="83" t="s">
        <v>34</v>
      </c>
      <c r="Y15" s="83" t="s">
        <v>34</v>
      </c>
      <c r="Z15" s="83" t="s">
        <v>34</v>
      </c>
      <c r="AA15" s="83" t="s">
        <v>34</v>
      </c>
      <c r="AB15" s="114" t="s">
        <v>62</v>
      </c>
    </row>
    <row r="16" spans="1:28" ht="14.4" x14ac:dyDescent="0.3">
      <c r="A16" s="79"/>
      <c r="B16" s="77" t="s">
        <v>52</v>
      </c>
      <c r="C16" s="149" t="s">
        <v>63</v>
      </c>
      <c r="D16" s="149" t="s">
        <v>64</v>
      </c>
      <c r="E16" s="77" t="s">
        <v>32</v>
      </c>
      <c r="F16" s="77"/>
      <c r="G16" s="77"/>
      <c r="H16" s="77"/>
      <c r="I16" s="82" t="s">
        <v>37</v>
      </c>
      <c r="J16" s="83" t="s">
        <v>34</v>
      </c>
      <c r="K16" s="83" t="s">
        <v>34</v>
      </c>
      <c r="L16" s="83" t="s">
        <v>34</v>
      </c>
      <c r="M16" s="83" t="s">
        <v>34</v>
      </c>
      <c r="N16" s="83" t="s">
        <v>34</v>
      </c>
      <c r="O16" s="83" t="s">
        <v>34</v>
      </c>
      <c r="P16" s="83" t="s">
        <v>34</v>
      </c>
      <c r="Q16" s="83" t="s">
        <v>34</v>
      </c>
      <c r="R16" s="82" t="s">
        <v>37</v>
      </c>
      <c r="S16" s="82" t="s">
        <v>37</v>
      </c>
      <c r="T16" s="83" t="s">
        <v>34</v>
      </c>
      <c r="U16" s="83" t="s">
        <v>34</v>
      </c>
      <c r="V16" s="83" t="s">
        <v>34</v>
      </c>
      <c r="W16" s="83" t="s">
        <v>34</v>
      </c>
      <c r="X16" s="83" t="s">
        <v>34</v>
      </c>
      <c r="Y16" s="83" t="s">
        <v>34</v>
      </c>
      <c r="Z16" s="83" t="s">
        <v>34</v>
      </c>
      <c r="AA16" s="83" t="s">
        <v>34</v>
      </c>
      <c r="AB16" s="77" t="s">
        <v>65</v>
      </c>
    </row>
    <row r="17" spans="1:28" ht="14.4" x14ac:dyDescent="0.3">
      <c r="A17" s="79"/>
      <c r="B17" s="77" t="s">
        <v>52</v>
      </c>
      <c r="C17" s="149" t="s">
        <v>66</v>
      </c>
      <c r="D17" s="149"/>
      <c r="E17" s="77" t="s">
        <v>32</v>
      </c>
      <c r="F17" s="77"/>
      <c r="G17" s="77" t="s">
        <v>67</v>
      </c>
      <c r="H17" s="77"/>
      <c r="I17" s="83" t="s">
        <v>34</v>
      </c>
      <c r="J17" s="83" t="s">
        <v>34</v>
      </c>
      <c r="K17" s="83" t="s">
        <v>34</v>
      </c>
      <c r="L17" s="83" t="s">
        <v>34</v>
      </c>
      <c r="M17" s="83" t="s">
        <v>34</v>
      </c>
      <c r="N17" s="82" t="s">
        <v>37</v>
      </c>
      <c r="O17" s="83" t="s">
        <v>34</v>
      </c>
      <c r="P17" s="83" t="s">
        <v>34</v>
      </c>
      <c r="Q17" s="83" t="s">
        <v>34</v>
      </c>
      <c r="R17" s="82" t="s">
        <v>37</v>
      </c>
      <c r="S17" s="83" t="s">
        <v>34</v>
      </c>
      <c r="T17" s="83" t="s">
        <v>34</v>
      </c>
      <c r="U17" s="83" t="s">
        <v>34</v>
      </c>
      <c r="V17" s="83" t="s">
        <v>34</v>
      </c>
      <c r="W17" s="83" t="s">
        <v>34</v>
      </c>
      <c r="X17" s="83" t="s">
        <v>34</v>
      </c>
      <c r="Y17" s="83" t="s">
        <v>34</v>
      </c>
      <c r="Z17" s="83" t="s">
        <v>34</v>
      </c>
      <c r="AA17" s="83" t="s">
        <v>34</v>
      </c>
      <c r="AB17" s="114" t="s">
        <v>68</v>
      </c>
    </row>
    <row r="18" spans="1:28" ht="66" customHeight="1" x14ac:dyDescent="0.3">
      <c r="A18" s="154"/>
      <c r="B18" s="119" t="s">
        <v>52</v>
      </c>
      <c r="C18" s="155">
        <v>90</v>
      </c>
      <c r="D18" s="155"/>
      <c r="E18" s="119" t="s">
        <v>32</v>
      </c>
      <c r="F18" s="119"/>
      <c r="G18" s="119" t="s">
        <v>69</v>
      </c>
      <c r="H18" s="119"/>
      <c r="I18" s="83" t="s">
        <v>34</v>
      </c>
      <c r="J18" s="83" t="s">
        <v>34</v>
      </c>
      <c r="K18" s="83" t="s">
        <v>34</v>
      </c>
      <c r="L18" s="83" t="s">
        <v>34</v>
      </c>
      <c r="M18" s="83" t="s">
        <v>34</v>
      </c>
      <c r="N18" s="83" t="s">
        <v>34</v>
      </c>
      <c r="O18" s="83" t="s">
        <v>34</v>
      </c>
      <c r="P18" s="83" t="s">
        <v>34</v>
      </c>
      <c r="Q18" s="83" t="s">
        <v>34</v>
      </c>
      <c r="R18" s="82" t="s">
        <v>37</v>
      </c>
      <c r="S18" s="83" t="s">
        <v>34</v>
      </c>
      <c r="T18" s="83" t="s">
        <v>34</v>
      </c>
      <c r="U18" s="83" t="s">
        <v>34</v>
      </c>
      <c r="V18" s="83" t="s">
        <v>34</v>
      </c>
      <c r="W18" s="83" t="s">
        <v>34</v>
      </c>
      <c r="X18" s="83" t="s">
        <v>34</v>
      </c>
      <c r="Y18" s="83" t="s">
        <v>34</v>
      </c>
      <c r="Z18" s="83" t="s">
        <v>34</v>
      </c>
      <c r="AA18" s="83" t="s">
        <v>34</v>
      </c>
      <c r="AB18" s="153" t="s">
        <v>70</v>
      </c>
    </row>
    <row r="19" spans="1:28" ht="17.25" customHeight="1" x14ac:dyDescent="0.3">
      <c r="A19" s="156"/>
      <c r="B19" s="77" t="s">
        <v>71</v>
      </c>
      <c r="C19" s="149" t="s">
        <v>72</v>
      </c>
      <c r="D19" s="149"/>
      <c r="E19" s="77" t="s">
        <v>73</v>
      </c>
      <c r="F19" s="114"/>
      <c r="G19" s="77" t="s">
        <v>74</v>
      </c>
      <c r="H19" s="114"/>
      <c r="I19" s="83" t="s">
        <v>34</v>
      </c>
      <c r="J19" s="83" t="s">
        <v>34</v>
      </c>
      <c r="K19" s="83" t="s">
        <v>34</v>
      </c>
      <c r="L19" s="83" t="s">
        <v>34</v>
      </c>
      <c r="M19" s="83" t="s">
        <v>34</v>
      </c>
      <c r="N19" s="83" t="s">
        <v>34</v>
      </c>
      <c r="O19" s="83" t="s">
        <v>34</v>
      </c>
      <c r="P19" s="83" t="s">
        <v>34</v>
      </c>
      <c r="Q19" s="83" t="s">
        <v>34</v>
      </c>
      <c r="R19" s="83" t="s">
        <v>34</v>
      </c>
      <c r="S19" s="83" t="s">
        <v>34</v>
      </c>
      <c r="T19" s="83" t="s">
        <v>34</v>
      </c>
      <c r="U19" s="83" t="s">
        <v>34</v>
      </c>
      <c r="V19" s="82" t="s">
        <v>37</v>
      </c>
      <c r="W19" s="82" t="s">
        <v>37</v>
      </c>
      <c r="X19" s="82" t="s">
        <v>37</v>
      </c>
      <c r="Y19" s="83" t="s">
        <v>34</v>
      </c>
      <c r="Z19" s="83" t="s">
        <v>34</v>
      </c>
      <c r="AA19" s="83" t="s">
        <v>34</v>
      </c>
      <c r="AB19" s="114" t="s">
        <v>75</v>
      </c>
    </row>
    <row r="20" spans="1:28" ht="15" customHeight="1" x14ac:dyDescent="0.3">
      <c r="A20" s="156"/>
      <c r="B20" s="77" t="s">
        <v>71</v>
      </c>
      <c r="C20" s="149" t="s">
        <v>76</v>
      </c>
      <c r="D20" s="149"/>
      <c r="E20" s="77" t="s">
        <v>77</v>
      </c>
      <c r="F20" s="114"/>
      <c r="G20" s="77" t="s">
        <v>74</v>
      </c>
      <c r="H20" s="114"/>
      <c r="I20" s="83" t="s">
        <v>34</v>
      </c>
      <c r="J20" s="83" t="s">
        <v>34</v>
      </c>
      <c r="K20" s="83" t="s">
        <v>34</v>
      </c>
      <c r="L20" s="83" t="s">
        <v>34</v>
      </c>
      <c r="M20" s="83" t="s">
        <v>34</v>
      </c>
      <c r="N20" s="83" t="s">
        <v>34</v>
      </c>
      <c r="O20" s="83" t="s">
        <v>34</v>
      </c>
      <c r="P20" s="83" t="s">
        <v>34</v>
      </c>
      <c r="Q20" s="83" t="s">
        <v>34</v>
      </c>
      <c r="R20" s="83" t="s">
        <v>34</v>
      </c>
      <c r="S20" s="83" t="s">
        <v>34</v>
      </c>
      <c r="T20" s="83" t="s">
        <v>34</v>
      </c>
      <c r="U20" s="83" t="s">
        <v>34</v>
      </c>
      <c r="V20" s="83" t="s">
        <v>34</v>
      </c>
      <c r="W20" s="83" t="s">
        <v>34</v>
      </c>
      <c r="X20" s="83" t="s">
        <v>34</v>
      </c>
      <c r="Y20" s="82" t="s">
        <v>37</v>
      </c>
      <c r="Z20" s="82" t="s">
        <v>37</v>
      </c>
      <c r="AA20" s="82" t="s">
        <v>37</v>
      </c>
      <c r="AB20" s="114" t="s">
        <v>78</v>
      </c>
    </row>
    <row r="21" spans="1:28" ht="15" customHeight="1" x14ac:dyDescent="0.3">
      <c r="A21" s="74"/>
    </row>
    <row r="22" spans="1:28" ht="14.4" x14ac:dyDescent="0.3">
      <c r="A22" s="80" t="s">
        <v>79</v>
      </c>
    </row>
    <row r="27" spans="1:28" ht="14.4" x14ac:dyDescent="0.3">
      <c r="I27" s="80" t="s">
        <v>80</v>
      </c>
    </row>
  </sheetData>
  <autoFilter ref="A1:AB20" xr:uid="{616B6E9C-3A4D-400D-B43A-A1CDA0C46F02}"/>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D1995-DC84-496F-9455-A1CE832ACD96}">
  <dimension ref="A1:G47"/>
  <sheetViews>
    <sheetView zoomScale="85" zoomScaleNormal="85" workbookViewId="0">
      <selection activeCell="C12" sqref="C12"/>
    </sheetView>
  </sheetViews>
  <sheetFormatPr defaultColWidth="8.6640625" defaultRowHeight="14.4" x14ac:dyDescent="0.3"/>
  <cols>
    <col min="1" max="1" width="14.33203125" style="3" customWidth="1"/>
    <col min="2" max="2" width="26.6640625" style="3" customWidth="1"/>
    <col min="3" max="3" width="35.5546875" style="3" customWidth="1"/>
    <col min="4" max="4" width="22.44140625" style="3" customWidth="1"/>
    <col min="5" max="5" width="37.6640625" style="3" customWidth="1"/>
    <col min="6" max="6" width="17.6640625" style="3" customWidth="1"/>
    <col min="7" max="7" width="27.44140625" style="3" bestFit="1" customWidth="1"/>
    <col min="8" max="256" width="8.6640625" style="3"/>
    <col min="257" max="257" width="14.33203125" style="3" customWidth="1"/>
    <col min="258" max="258" width="26.6640625" style="3" customWidth="1"/>
    <col min="259" max="259" width="35.5546875" style="3" customWidth="1"/>
    <col min="260" max="260" width="22.44140625" style="3" customWidth="1"/>
    <col min="261" max="261" width="37.6640625" style="3" customWidth="1"/>
    <col min="262" max="262" width="17.6640625" style="3" customWidth="1"/>
    <col min="263" max="263" width="27.44140625" style="3" bestFit="1" customWidth="1"/>
    <col min="264" max="512" width="8.6640625" style="3"/>
    <col min="513" max="513" width="14.33203125" style="3" customWidth="1"/>
    <col min="514" max="514" width="26.6640625" style="3" customWidth="1"/>
    <col min="515" max="515" width="35.5546875" style="3" customWidth="1"/>
    <col min="516" max="516" width="22.44140625" style="3" customWidth="1"/>
    <col min="517" max="517" width="37.6640625" style="3" customWidth="1"/>
    <col min="518" max="518" width="17.6640625" style="3" customWidth="1"/>
    <col min="519" max="519" width="27.44140625" style="3" bestFit="1" customWidth="1"/>
    <col min="520" max="768" width="8.6640625" style="3"/>
    <col min="769" max="769" width="14.33203125" style="3" customWidth="1"/>
    <col min="770" max="770" width="26.6640625" style="3" customWidth="1"/>
    <col min="771" max="771" width="35.5546875" style="3" customWidth="1"/>
    <col min="772" max="772" width="22.44140625" style="3" customWidth="1"/>
    <col min="773" max="773" width="37.6640625" style="3" customWidth="1"/>
    <col min="774" max="774" width="17.6640625" style="3" customWidth="1"/>
    <col min="775" max="775" width="27.44140625" style="3" bestFit="1" customWidth="1"/>
    <col min="776" max="1024" width="8.6640625" style="3"/>
    <col min="1025" max="1025" width="14.33203125" style="3" customWidth="1"/>
    <col min="1026" max="1026" width="26.6640625" style="3" customWidth="1"/>
    <col min="1027" max="1027" width="35.5546875" style="3" customWidth="1"/>
    <col min="1028" max="1028" width="22.44140625" style="3" customWidth="1"/>
    <col min="1029" max="1029" width="37.6640625" style="3" customWidth="1"/>
    <col min="1030" max="1030" width="17.6640625" style="3" customWidth="1"/>
    <col min="1031" max="1031" width="27.44140625" style="3" bestFit="1" customWidth="1"/>
    <col min="1032" max="1280" width="8.6640625" style="3"/>
    <col min="1281" max="1281" width="14.33203125" style="3" customWidth="1"/>
    <col min="1282" max="1282" width="26.6640625" style="3" customWidth="1"/>
    <col min="1283" max="1283" width="35.5546875" style="3" customWidth="1"/>
    <col min="1284" max="1284" width="22.44140625" style="3" customWidth="1"/>
    <col min="1285" max="1285" width="37.6640625" style="3" customWidth="1"/>
    <col min="1286" max="1286" width="17.6640625" style="3" customWidth="1"/>
    <col min="1287" max="1287" width="27.44140625" style="3" bestFit="1" customWidth="1"/>
    <col min="1288" max="1536" width="8.6640625" style="3"/>
    <col min="1537" max="1537" width="14.33203125" style="3" customWidth="1"/>
    <col min="1538" max="1538" width="26.6640625" style="3" customWidth="1"/>
    <col min="1539" max="1539" width="35.5546875" style="3" customWidth="1"/>
    <col min="1540" max="1540" width="22.44140625" style="3" customWidth="1"/>
    <col min="1541" max="1541" width="37.6640625" style="3" customWidth="1"/>
    <col min="1542" max="1542" width="17.6640625" style="3" customWidth="1"/>
    <col min="1543" max="1543" width="27.44140625" style="3" bestFit="1" customWidth="1"/>
    <col min="1544" max="1792" width="8.6640625" style="3"/>
    <col min="1793" max="1793" width="14.33203125" style="3" customWidth="1"/>
    <col min="1794" max="1794" width="26.6640625" style="3" customWidth="1"/>
    <col min="1795" max="1795" width="35.5546875" style="3" customWidth="1"/>
    <col min="1796" max="1796" width="22.44140625" style="3" customWidth="1"/>
    <col min="1797" max="1797" width="37.6640625" style="3" customWidth="1"/>
    <col min="1798" max="1798" width="17.6640625" style="3" customWidth="1"/>
    <col min="1799" max="1799" width="27.44140625" style="3" bestFit="1" customWidth="1"/>
    <col min="1800" max="2048" width="8.6640625" style="3"/>
    <col min="2049" max="2049" width="14.33203125" style="3" customWidth="1"/>
    <col min="2050" max="2050" width="26.6640625" style="3" customWidth="1"/>
    <col min="2051" max="2051" width="35.5546875" style="3" customWidth="1"/>
    <col min="2052" max="2052" width="22.44140625" style="3" customWidth="1"/>
    <col min="2053" max="2053" width="37.6640625" style="3" customWidth="1"/>
    <col min="2054" max="2054" width="17.6640625" style="3" customWidth="1"/>
    <col min="2055" max="2055" width="27.44140625" style="3" bestFit="1" customWidth="1"/>
    <col min="2056" max="2304" width="8.6640625" style="3"/>
    <col min="2305" max="2305" width="14.33203125" style="3" customWidth="1"/>
    <col min="2306" max="2306" width="26.6640625" style="3" customWidth="1"/>
    <col min="2307" max="2307" width="35.5546875" style="3" customWidth="1"/>
    <col min="2308" max="2308" width="22.44140625" style="3" customWidth="1"/>
    <col min="2309" max="2309" width="37.6640625" style="3" customWidth="1"/>
    <col min="2310" max="2310" width="17.6640625" style="3" customWidth="1"/>
    <col min="2311" max="2311" width="27.44140625" style="3" bestFit="1" customWidth="1"/>
    <col min="2312" max="2560" width="8.6640625" style="3"/>
    <col min="2561" max="2561" width="14.33203125" style="3" customWidth="1"/>
    <col min="2562" max="2562" width="26.6640625" style="3" customWidth="1"/>
    <col min="2563" max="2563" width="35.5546875" style="3" customWidth="1"/>
    <col min="2564" max="2564" width="22.44140625" style="3" customWidth="1"/>
    <col min="2565" max="2565" width="37.6640625" style="3" customWidth="1"/>
    <col min="2566" max="2566" width="17.6640625" style="3" customWidth="1"/>
    <col min="2567" max="2567" width="27.44140625" style="3" bestFit="1" customWidth="1"/>
    <col min="2568" max="2816" width="8.6640625" style="3"/>
    <col min="2817" max="2817" width="14.33203125" style="3" customWidth="1"/>
    <col min="2818" max="2818" width="26.6640625" style="3" customWidth="1"/>
    <col min="2819" max="2819" width="35.5546875" style="3" customWidth="1"/>
    <col min="2820" max="2820" width="22.44140625" style="3" customWidth="1"/>
    <col min="2821" max="2821" width="37.6640625" style="3" customWidth="1"/>
    <col min="2822" max="2822" width="17.6640625" style="3" customWidth="1"/>
    <col min="2823" max="2823" width="27.44140625" style="3" bestFit="1" customWidth="1"/>
    <col min="2824" max="3072" width="8.6640625" style="3"/>
    <col min="3073" max="3073" width="14.33203125" style="3" customWidth="1"/>
    <col min="3074" max="3074" width="26.6640625" style="3" customWidth="1"/>
    <col min="3075" max="3075" width="35.5546875" style="3" customWidth="1"/>
    <col min="3076" max="3076" width="22.44140625" style="3" customWidth="1"/>
    <col min="3077" max="3077" width="37.6640625" style="3" customWidth="1"/>
    <col min="3078" max="3078" width="17.6640625" style="3" customWidth="1"/>
    <col min="3079" max="3079" width="27.44140625" style="3" bestFit="1" customWidth="1"/>
    <col min="3080" max="3328" width="8.6640625" style="3"/>
    <col min="3329" max="3329" width="14.33203125" style="3" customWidth="1"/>
    <col min="3330" max="3330" width="26.6640625" style="3" customWidth="1"/>
    <col min="3331" max="3331" width="35.5546875" style="3" customWidth="1"/>
    <col min="3332" max="3332" width="22.44140625" style="3" customWidth="1"/>
    <col min="3333" max="3333" width="37.6640625" style="3" customWidth="1"/>
    <col min="3334" max="3334" width="17.6640625" style="3" customWidth="1"/>
    <col min="3335" max="3335" width="27.44140625" style="3" bestFit="1" customWidth="1"/>
    <col min="3336" max="3584" width="8.6640625" style="3"/>
    <col min="3585" max="3585" width="14.33203125" style="3" customWidth="1"/>
    <col min="3586" max="3586" width="26.6640625" style="3" customWidth="1"/>
    <col min="3587" max="3587" width="35.5546875" style="3" customWidth="1"/>
    <col min="3588" max="3588" width="22.44140625" style="3" customWidth="1"/>
    <col min="3589" max="3589" width="37.6640625" style="3" customWidth="1"/>
    <col min="3590" max="3590" width="17.6640625" style="3" customWidth="1"/>
    <col min="3591" max="3591" width="27.44140625" style="3" bestFit="1" customWidth="1"/>
    <col min="3592" max="3840" width="8.6640625" style="3"/>
    <col min="3841" max="3841" width="14.33203125" style="3" customWidth="1"/>
    <col min="3842" max="3842" width="26.6640625" style="3" customWidth="1"/>
    <col min="3843" max="3843" width="35.5546875" style="3" customWidth="1"/>
    <col min="3844" max="3844" width="22.44140625" style="3" customWidth="1"/>
    <col min="3845" max="3845" width="37.6640625" style="3" customWidth="1"/>
    <col min="3846" max="3846" width="17.6640625" style="3" customWidth="1"/>
    <col min="3847" max="3847" width="27.44140625" style="3" bestFit="1" customWidth="1"/>
    <col min="3848" max="4096" width="8.6640625" style="3"/>
    <col min="4097" max="4097" width="14.33203125" style="3" customWidth="1"/>
    <col min="4098" max="4098" width="26.6640625" style="3" customWidth="1"/>
    <col min="4099" max="4099" width="35.5546875" style="3" customWidth="1"/>
    <col min="4100" max="4100" width="22.44140625" style="3" customWidth="1"/>
    <col min="4101" max="4101" width="37.6640625" style="3" customWidth="1"/>
    <col min="4102" max="4102" width="17.6640625" style="3" customWidth="1"/>
    <col min="4103" max="4103" width="27.44140625" style="3" bestFit="1" customWidth="1"/>
    <col min="4104" max="4352" width="8.6640625" style="3"/>
    <col min="4353" max="4353" width="14.33203125" style="3" customWidth="1"/>
    <col min="4354" max="4354" width="26.6640625" style="3" customWidth="1"/>
    <col min="4355" max="4355" width="35.5546875" style="3" customWidth="1"/>
    <col min="4356" max="4356" width="22.44140625" style="3" customWidth="1"/>
    <col min="4357" max="4357" width="37.6640625" style="3" customWidth="1"/>
    <col min="4358" max="4358" width="17.6640625" style="3" customWidth="1"/>
    <col min="4359" max="4359" width="27.44140625" style="3" bestFit="1" customWidth="1"/>
    <col min="4360" max="4608" width="8.6640625" style="3"/>
    <col min="4609" max="4609" width="14.33203125" style="3" customWidth="1"/>
    <col min="4610" max="4610" width="26.6640625" style="3" customWidth="1"/>
    <col min="4611" max="4611" width="35.5546875" style="3" customWidth="1"/>
    <col min="4612" max="4612" width="22.44140625" style="3" customWidth="1"/>
    <col min="4613" max="4613" width="37.6640625" style="3" customWidth="1"/>
    <col min="4614" max="4614" width="17.6640625" style="3" customWidth="1"/>
    <col min="4615" max="4615" width="27.44140625" style="3" bestFit="1" customWidth="1"/>
    <col min="4616" max="4864" width="8.6640625" style="3"/>
    <col min="4865" max="4865" width="14.33203125" style="3" customWidth="1"/>
    <col min="4866" max="4866" width="26.6640625" style="3" customWidth="1"/>
    <col min="4867" max="4867" width="35.5546875" style="3" customWidth="1"/>
    <col min="4868" max="4868" width="22.44140625" style="3" customWidth="1"/>
    <col min="4869" max="4869" width="37.6640625" style="3" customWidth="1"/>
    <col min="4870" max="4870" width="17.6640625" style="3" customWidth="1"/>
    <col min="4871" max="4871" width="27.44140625" style="3" bestFit="1" customWidth="1"/>
    <col min="4872" max="5120" width="8.6640625" style="3"/>
    <col min="5121" max="5121" width="14.33203125" style="3" customWidth="1"/>
    <col min="5122" max="5122" width="26.6640625" style="3" customWidth="1"/>
    <col min="5123" max="5123" width="35.5546875" style="3" customWidth="1"/>
    <col min="5124" max="5124" width="22.44140625" style="3" customWidth="1"/>
    <col min="5125" max="5125" width="37.6640625" style="3" customWidth="1"/>
    <col min="5126" max="5126" width="17.6640625" style="3" customWidth="1"/>
    <col min="5127" max="5127" width="27.44140625" style="3" bestFit="1" customWidth="1"/>
    <col min="5128" max="5376" width="8.6640625" style="3"/>
    <col min="5377" max="5377" width="14.33203125" style="3" customWidth="1"/>
    <col min="5378" max="5378" width="26.6640625" style="3" customWidth="1"/>
    <col min="5379" max="5379" width="35.5546875" style="3" customWidth="1"/>
    <col min="5380" max="5380" width="22.44140625" style="3" customWidth="1"/>
    <col min="5381" max="5381" width="37.6640625" style="3" customWidth="1"/>
    <col min="5382" max="5382" width="17.6640625" style="3" customWidth="1"/>
    <col min="5383" max="5383" width="27.44140625" style="3" bestFit="1" customWidth="1"/>
    <col min="5384" max="5632" width="8.6640625" style="3"/>
    <col min="5633" max="5633" width="14.33203125" style="3" customWidth="1"/>
    <col min="5634" max="5634" width="26.6640625" style="3" customWidth="1"/>
    <col min="5635" max="5635" width="35.5546875" style="3" customWidth="1"/>
    <col min="5636" max="5636" width="22.44140625" style="3" customWidth="1"/>
    <col min="5637" max="5637" width="37.6640625" style="3" customWidth="1"/>
    <col min="5638" max="5638" width="17.6640625" style="3" customWidth="1"/>
    <col min="5639" max="5639" width="27.44140625" style="3" bestFit="1" customWidth="1"/>
    <col min="5640" max="5888" width="8.6640625" style="3"/>
    <col min="5889" max="5889" width="14.33203125" style="3" customWidth="1"/>
    <col min="5890" max="5890" width="26.6640625" style="3" customWidth="1"/>
    <col min="5891" max="5891" width="35.5546875" style="3" customWidth="1"/>
    <col min="5892" max="5892" width="22.44140625" style="3" customWidth="1"/>
    <col min="5893" max="5893" width="37.6640625" style="3" customWidth="1"/>
    <col min="5894" max="5894" width="17.6640625" style="3" customWidth="1"/>
    <col min="5895" max="5895" width="27.44140625" style="3" bestFit="1" customWidth="1"/>
    <col min="5896" max="6144" width="8.6640625" style="3"/>
    <col min="6145" max="6145" width="14.33203125" style="3" customWidth="1"/>
    <col min="6146" max="6146" width="26.6640625" style="3" customWidth="1"/>
    <col min="6147" max="6147" width="35.5546875" style="3" customWidth="1"/>
    <col min="6148" max="6148" width="22.44140625" style="3" customWidth="1"/>
    <col min="6149" max="6149" width="37.6640625" style="3" customWidth="1"/>
    <col min="6150" max="6150" width="17.6640625" style="3" customWidth="1"/>
    <col min="6151" max="6151" width="27.44140625" style="3" bestFit="1" customWidth="1"/>
    <col min="6152" max="6400" width="8.6640625" style="3"/>
    <col min="6401" max="6401" width="14.33203125" style="3" customWidth="1"/>
    <col min="6402" max="6402" width="26.6640625" style="3" customWidth="1"/>
    <col min="6403" max="6403" width="35.5546875" style="3" customWidth="1"/>
    <col min="6404" max="6404" width="22.44140625" style="3" customWidth="1"/>
    <col min="6405" max="6405" width="37.6640625" style="3" customWidth="1"/>
    <col min="6406" max="6406" width="17.6640625" style="3" customWidth="1"/>
    <col min="6407" max="6407" width="27.44140625" style="3" bestFit="1" customWidth="1"/>
    <col min="6408" max="6656" width="8.6640625" style="3"/>
    <col min="6657" max="6657" width="14.33203125" style="3" customWidth="1"/>
    <col min="6658" max="6658" width="26.6640625" style="3" customWidth="1"/>
    <col min="6659" max="6659" width="35.5546875" style="3" customWidth="1"/>
    <col min="6660" max="6660" width="22.44140625" style="3" customWidth="1"/>
    <col min="6661" max="6661" width="37.6640625" style="3" customWidth="1"/>
    <col min="6662" max="6662" width="17.6640625" style="3" customWidth="1"/>
    <col min="6663" max="6663" width="27.44140625" style="3" bestFit="1" customWidth="1"/>
    <col min="6664" max="6912" width="8.6640625" style="3"/>
    <col min="6913" max="6913" width="14.33203125" style="3" customWidth="1"/>
    <col min="6914" max="6914" width="26.6640625" style="3" customWidth="1"/>
    <col min="6915" max="6915" width="35.5546875" style="3" customWidth="1"/>
    <col min="6916" max="6916" width="22.44140625" style="3" customWidth="1"/>
    <col min="6917" max="6917" width="37.6640625" style="3" customWidth="1"/>
    <col min="6918" max="6918" width="17.6640625" style="3" customWidth="1"/>
    <col min="6919" max="6919" width="27.44140625" style="3" bestFit="1" customWidth="1"/>
    <col min="6920" max="7168" width="8.6640625" style="3"/>
    <col min="7169" max="7169" width="14.33203125" style="3" customWidth="1"/>
    <col min="7170" max="7170" width="26.6640625" style="3" customWidth="1"/>
    <col min="7171" max="7171" width="35.5546875" style="3" customWidth="1"/>
    <col min="7172" max="7172" width="22.44140625" style="3" customWidth="1"/>
    <col min="7173" max="7173" width="37.6640625" style="3" customWidth="1"/>
    <col min="7174" max="7174" width="17.6640625" style="3" customWidth="1"/>
    <col min="7175" max="7175" width="27.44140625" style="3" bestFit="1" customWidth="1"/>
    <col min="7176" max="7424" width="8.6640625" style="3"/>
    <col min="7425" max="7425" width="14.33203125" style="3" customWidth="1"/>
    <col min="7426" max="7426" width="26.6640625" style="3" customWidth="1"/>
    <col min="7427" max="7427" width="35.5546875" style="3" customWidth="1"/>
    <col min="7428" max="7428" width="22.44140625" style="3" customWidth="1"/>
    <col min="7429" max="7429" width="37.6640625" style="3" customWidth="1"/>
    <col min="7430" max="7430" width="17.6640625" style="3" customWidth="1"/>
    <col min="7431" max="7431" width="27.44140625" style="3" bestFit="1" customWidth="1"/>
    <col min="7432" max="7680" width="8.6640625" style="3"/>
    <col min="7681" max="7681" width="14.33203125" style="3" customWidth="1"/>
    <col min="7682" max="7682" width="26.6640625" style="3" customWidth="1"/>
    <col min="7683" max="7683" width="35.5546875" style="3" customWidth="1"/>
    <col min="7684" max="7684" width="22.44140625" style="3" customWidth="1"/>
    <col min="7685" max="7685" width="37.6640625" style="3" customWidth="1"/>
    <col min="7686" max="7686" width="17.6640625" style="3" customWidth="1"/>
    <col min="7687" max="7687" width="27.44140625" style="3" bestFit="1" customWidth="1"/>
    <col min="7688" max="7936" width="8.6640625" style="3"/>
    <col min="7937" max="7937" width="14.33203125" style="3" customWidth="1"/>
    <col min="7938" max="7938" width="26.6640625" style="3" customWidth="1"/>
    <col min="7939" max="7939" width="35.5546875" style="3" customWidth="1"/>
    <col min="7940" max="7940" width="22.44140625" style="3" customWidth="1"/>
    <col min="7941" max="7941" width="37.6640625" style="3" customWidth="1"/>
    <col min="7942" max="7942" width="17.6640625" style="3" customWidth="1"/>
    <col min="7943" max="7943" width="27.44140625" style="3" bestFit="1" customWidth="1"/>
    <col min="7944" max="8192" width="8.6640625" style="3"/>
    <col min="8193" max="8193" width="14.33203125" style="3" customWidth="1"/>
    <col min="8194" max="8194" width="26.6640625" style="3" customWidth="1"/>
    <col min="8195" max="8195" width="35.5546875" style="3" customWidth="1"/>
    <col min="8196" max="8196" width="22.44140625" style="3" customWidth="1"/>
    <col min="8197" max="8197" width="37.6640625" style="3" customWidth="1"/>
    <col min="8198" max="8198" width="17.6640625" style="3" customWidth="1"/>
    <col min="8199" max="8199" width="27.44140625" style="3" bestFit="1" customWidth="1"/>
    <col min="8200" max="8448" width="8.6640625" style="3"/>
    <col min="8449" max="8449" width="14.33203125" style="3" customWidth="1"/>
    <col min="8450" max="8450" width="26.6640625" style="3" customWidth="1"/>
    <col min="8451" max="8451" width="35.5546875" style="3" customWidth="1"/>
    <col min="8452" max="8452" width="22.44140625" style="3" customWidth="1"/>
    <col min="8453" max="8453" width="37.6640625" style="3" customWidth="1"/>
    <col min="8454" max="8454" width="17.6640625" style="3" customWidth="1"/>
    <col min="8455" max="8455" width="27.44140625" style="3" bestFit="1" customWidth="1"/>
    <col min="8456" max="8704" width="8.6640625" style="3"/>
    <col min="8705" max="8705" width="14.33203125" style="3" customWidth="1"/>
    <col min="8706" max="8706" width="26.6640625" style="3" customWidth="1"/>
    <col min="8707" max="8707" width="35.5546875" style="3" customWidth="1"/>
    <col min="8708" max="8708" width="22.44140625" style="3" customWidth="1"/>
    <col min="8709" max="8709" width="37.6640625" style="3" customWidth="1"/>
    <col min="8710" max="8710" width="17.6640625" style="3" customWidth="1"/>
    <col min="8711" max="8711" width="27.44140625" style="3" bestFit="1" customWidth="1"/>
    <col min="8712" max="8960" width="8.6640625" style="3"/>
    <col min="8961" max="8961" width="14.33203125" style="3" customWidth="1"/>
    <col min="8962" max="8962" width="26.6640625" style="3" customWidth="1"/>
    <col min="8963" max="8963" width="35.5546875" style="3" customWidth="1"/>
    <col min="8964" max="8964" width="22.44140625" style="3" customWidth="1"/>
    <col min="8965" max="8965" width="37.6640625" style="3" customWidth="1"/>
    <col min="8966" max="8966" width="17.6640625" style="3" customWidth="1"/>
    <col min="8967" max="8967" width="27.44140625" style="3" bestFit="1" customWidth="1"/>
    <col min="8968" max="9216" width="8.6640625" style="3"/>
    <col min="9217" max="9217" width="14.33203125" style="3" customWidth="1"/>
    <col min="9218" max="9218" width="26.6640625" style="3" customWidth="1"/>
    <col min="9219" max="9219" width="35.5546875" style="3" customWidth="1"/>
    <col min="9220" max="9220" width="22.44140625" style="3" customWidth="1"/>
    <col min="9221" max="9221" width="37.6640625" style="3" customWidth="1"/>
    <col min="9222" max="9222" width="17.6640625" style="3" customWidth="1"/>
    <col min="9223" max="9223" width="27.44140625" style="3" bestFit="1" customWidth="1"/>
    <col min="9224" max="9472" width="8.6640625" style="3"/>
    <col min="9473" max="9473" width="14.33203125" style="3" customWidth="1"/>
    <col min="9474" max="9474" width="26.6640625" style="3" customWidth="1"/>
    <col min="9475" max="9475" width="35.5546875" style="3" customWidth="1"/>
    <col min="9476" max="9476" width="22.44140625" style="3" customWidth="1"/>
    <col min="9477" max="9477" width="37.6640625" style="3" customWidth="1"/>
    <col min="9478" max="9478" width="17.6640625" style="3" customWidth="1"/>
    <col min="9479" max="9479" width="27.44140625" style="3" bestFit="1" customWidth="1"/>
    <col min="9480" max="9728" width="8.6640625" style="3"/>
    <col min="9729" max="9729" width="14.33203125" style="3" customWidth="1"/>
    <col min="9730" max="9730" width="26.6640625" style="3" customWidth="1"/>
    <col min="9731" max="9731" width="35.5546875" style="3" customWidth="1"/>
    <col min="9732" max="9732" width="22.44140625" style="3" customWidth="1"/>
    <col min="9733" max="9733" width="37.6640625" style="3" customWidth="1"/>
    <col min="9734" max="9734" width="17.6640625" style="3" customWidth="1"/>
    <col min="9735" max="9735" width="27.44140625" style="3" bestFit="1" customWidth="1"/>
    <col min="9736" max="9984" width="8.6640625" style="3"/>
    <col min="9985" max="9985" width="14.33203125" style="3" customWidth="1"/>
    <col min="9986" max="9986" width="26.6640625" style="3" customWidth="1"/>
    <col min="9987" max="9987" width="35.5546875" style="3" customWidth="1"/>
    <col min="9988" max="9988" width="22.44140625" style="3" customWidth="1"/>
    <col min="9989" max="9989" width="37.6640625" style="3" customWidth="1"/>
    <col min="9990" max="9990" width="17.6640625" style="3" customWidth="1"/>
    <col min="9991" max="9991" width="27.44140625" style="3" bestFit="1" customWidth="1"/>
    <col min="9992" max="10240" width="8.6640625" style="3"/>
    <col min="10241" max="10241" width="14.33203125" style="3" customWidth="1"/>
    <col min="10242" max="10242" width="26.6640625" style="3" customWidth="1"/>
    <col min="10243" max="10243" width="35.5546875" style="3" customWidth="1"/>
    <col min="10244" max="10244" width="22.44140625" style="3" customWidth="1"/>
    <col min="10245" max="10245" width="37.6640625" style="3" customWidth="1"/>
    <col min="10246" max="10246" width="17.6640625" style="3" customWidth="1"/>
    <col min="10247" max="10247" width="27.44140625" style="3" bestFit="1" customWidth="1"/>
    <col min="10248" max="10496" width="8.6640625" style="3"/>
    <col min="10497" max="10497" width="14.33203125" style="3" customWidth="1"/>
    <col min="10498" max="10498" width="26.6640625" style="3" customWidth="1"/>
    <col min="10499" max="10499" width="35.5546875" style="3" customWidth="1"/>
    <col min="10500" max="10500" width="22.44140625" style="3" customWidth="1"/>
    <col min="10501" max="10501" width="37.6640625" style="3" customWidth="1"/>
    <col min="10502" max="10502" width="17.6640625" style="3" customWidth="1"/>
    <col min="10503" max="10503" width="27.44140625" style="3" bestFit="1" customWidth="1"/>
    <col min="10504" max="10752" width="8.6640625" style="3"/>
    <col min="10753" max="10753" width="14.33203125" style="3" customWidth="1"/>
    <col min="10754" max="10754" width="26.6640625" style="3" customWidth="1"/>
    <col min="10755" max="10755" width="35.5546875" style="3" customWidth="1"/>
    <col min="10756" max="10756" width="22.44140625" style="3" customWidth="1"/>
    <col min="10757" max="10757" width="37.6640625" style="3" customWidth="1"/>
    <col min="10758" max="10758" width="17.6640625" style="3" customWidth="1"/>
    <col min="10759" max="10759" width="27.44140625" style="3" bestFit="1" customWidth="1"/>
    <col min="10760" max="11008" width="8.6640625" style="3"/>
    <col min="11009" max="11009" width="14.33203125" style="3" customWidth="1"/>
    <col min="11010" max="11010" width="26.6640625" style="3" customWidth="1"/>
    <col min="11011" max="11011" width="35.5546875" style="3" customWidth="1"/>
    <col min="11012" max="11012" width="22.44140625" style="3" customWidth="1"/>
    <col min="11013" max="11013" width="37.6640625" style="3" customWidth="1"/>
    <col min="11014" max="11014" width="17.6640625" style="3" customWidth="1"/>
    <col min="11015" max="11015" width="27.44140625" style="3" bestFit="1" customWidth="1"/>
    <col min="11016" max="11264" width="8.6640625" style="3"/>
    <col min="11265" max="11265" width="14.33203125" style="3" customWidth="1"/>
    <col min="11266" max="11266" width="26.6640625" style="3" customWidth="1"/>
    <col min="11267" max="11267" width="35.5546875" style="3" customWidth="1"/>
    <col min="11268" max="11268" width="22.44140625" style="3" customWidth="1"/>
    <col min="11269" max="11269" width="37.6640625" style="3" customWidth="1"/>
    <col min="11270" max="11270" width="17.6640625" style="3" customWidth="1"/>
    <col min="11271" max="11271" width="27.44140625" style="3" bestFit="1" customWidth="1"/>
    <col min="11272" max="11520" width="8.6640625" style="3"/>
    <col min="11521" max="11521" width="14.33203125" style="3" customWidth="1"/>
    <col min="11522" max="11522" width="26.6640625" style="3" customWidth="1"/>
    <col min="11523" max="11523" width="35.5546875" style="3" customWidth="1"/>
    <col min="11524" max="11524" width="22.44140625" style="3" customWidth="1"/>
    <col min="11525" max="11525" width="37.6640625" style="3" customWidth="1"/>
    <col min="11526" max="11526" width="17.6640625" style="3" customWidth="1"/>
    <col min="11527" max="11527" width="27.44140625" style="3" bestFit="1" customWidth="1"/>
    <col min="11528" max="11776" width="8.6640625" style="3"/>
    <col min="11777" max="11777" width="14.33203125" style="3" customWidth="1"/>
    <col min="11778" max="11778" width="26.6640625" style="3" customWidth="1"/>
    <col min="11779" max="11779" width="35.5546875" style="3" customWidth="1"/>
    <col min="11780" max="11780" width="22.44140625" style="3" customWidth="1"/>
    <col min="11781" max="11781" width="37.6640625" style="3" customWidth="1"/>
    <col min="11782" max="11782" width="17.6640625" style="3" customWidth="1"/>
    <col min="11783" max="11783" width="27.44140625" style="3" bestFit="1" customWidth="1"/>
    <col min="11784" max="12032" width="8.6640625" style="3"/>
    <col min="12033" max="12033" width="14.33203125" style="3" customWidth="1"/>
    <col min="12034" max="12034" width="26.6640625" style="3" customWidth="1"/>
    <col min="12035" max="12035" width="35.5546875" style="3" customWidth="1"/>
    <col min="12036" max="12036" width="22.44140625" style="3" customWidth="1"/>
    <col min="12037" max="12037" width="37.6640625" style="3" customWidth="1"/>
    <col min="12038" max="12038" width="17.6640625" style="3" customWidth="1"/>
    <col min="12039" max="12039" width="27.44140625" style="3" bestFit="1" customWidth="1"/>
    <col min="12040" max="12288" width="8.6640625" style="3"/>
    <col min="12289" max="12289" width="14.33203125" style="3" customWidth="1"/>
    <col min="12290" max="12290" width="26.6640625" style="3" customWidth="1"/>
    <col min="12291" max="12291" width="35.5546875" style="3" customWidth="1"/>
    <col min="12292" max="12292" width="22.44140625" style="3" customWidth="1"/>
    <col min="12293" max="12293" width="37.6640625" style="3" customWidth="1"/>
    <col min="12294" max="12294" width="17.6640625" style="3" customWidth="1"/>
    <col min="12295" max="12295" width="27.44140625" style="3" bestFit="1" customWidth="1"/>
    <col min="12296" max="12544" width="8.6640625" style="3"/>
    <col min="12545" max="12545" width="14.33203125" style="3" customWidth="1"/>
    <col min="12546" max="12546" width="26.6640625" style="3" customWidth="1"/>
    <col min="12547" max="12547" width="35.5546875" style="3" customWidth="1"/>
    <col min="12548" max="12548" width="22.44140625" style="3" customWidth="1"/>
    <col min="12549" max="12549" width="37.6640625" style="3" customWidth="1"/>
    <col min="12550" max="12550" width="17.6640625" style="3" customWidth="1"/>
    <col min="12551" max="12551" width="27.44140625" style="3" bestFit="1" customWidth="1"/>
    <col min="12552" max="12800" width="8.6640625" style="3"/>
    <col min="12801" max="12801" width="14.33203125" style="3" customWidth="1"/>
    <col min="12802" max="12802" width="26.6640625" style="3" customWidth="1"/>
    <col min="12803" max="12803" width="35.5546875" style="3" customWidth="1"/>
    <col min="12804" max="12804" width="22.44140625" style="3" customWidth="1"/>
    <col min="12805" max="12805" width="37.6640625" style="3" customWidth="1"/>
    <col min="12806" max="12806" width="17.6640625" style="3" customWidth="1"/>
    <col min="12807" max="12807" width="27.44140625" style="3" bestFit="1" customWidth="1"/>
    <col min="12808" max="13056" width="8.6640625" style="3"/>
    <col min="13057" max="13057" width="14.33203125" style="3" customWidth="1"/>
    <col min="13058" max="13058" width="26.6640625" style="3" customWidth="1"/>
    <col min="13059" max="13059" width="35.5546875" style="3" customWidth="1"/>
    <col min="13060" max="13060" width="22.44140625" style="3" customWidth="1"/>
    <col min="13061" max="13061" width="37.6640625" style="3" customWidth="1"/>
    <col min="13062" max="13062" width="17.6640625" style="3" customWidth="1"/>
    <col min="13063" max="13063" width="27.44140625" style="3" bestFit="1" customWidth="1"/>
    <col min="13064" max="13312" width="8.6640625" style="3"/>
    <col min="13313" max="13313" width="14.33203125" style="3" customWidth="1"/>
    <col min="13314" max="13314" width="26.6640625" style="3" customWidth="1"/>
    <col min="13315" max="13315" width="35.5546875" style="3" customWidth="1"/>
    <col min="13316" max="13316" width="22.44140625" style="3" customWidth="1"/>
    <col min="13317" max="13317" width="37.6640625" style="3" customWidth="1"/>
    <col min="13318" max="13318" width="17.6640625" style="3" customWidth="1"/>
    <col min="13319" max="13319" width="27.44140625" style="3" bestFit="1" customWidth="1"/>
    <col min="13320" max="13568" width="8.6640625" style="3"/>
    <col min="13569" max="13569" width="14.33203125" style="3" customWidth="1"/>
    <col min="13570" max="13570" width="26.6640625" style="3" customWidth="1"/>
    <col min="13571" max="13571" width="35.5546875" style="3" customWidth="1"/>
    <col min="13572" max="13572" width="22.44140625" style="3" customWidth="1"/>
    <col min="13573" max="13573" width="37.6640625" style="3" customWidth="1"/>
    <col min="13574" max="13574" width="17.6640625" style="3" customWidth="1"/>
    <col min="13575" max="13575" width="27.44140625" style="3" bestFit="1" customWidth="1"/>
    <col min="13576" max="13824" width="8.6640625" style="3"/>
    <col min="13825" max="13825" width="14.33203125" style="3" customWidth="1"/>
    <col min="13826" max="13826" width="26.6640625" style="3" customWidth="1"/>
    <col min="13827" max="13827" width="35.5546875" style="3" customWidth="1"/>
    <col min="13828" max="13828" width="22.44140625" style="3" customWidth="1"/>
    <col min="13829" max="13829" width="37.6640625" style="3" customWidth="1"/>
    <col min="13830" max="13830" width="17.6640625" style="3" customWidth="1"/>
    <col min="13831" max="13831" width="27.44140625" style="3" bestFit="1" customWidth="1"/>
    <col min="13832" max="14080" width="8.6640625" style="3"/>
    <col min="14081" max="14081" width="14.33203125" style="3" customWidth="1"/>
    <col min="14082" max="14082" width="26.6640625" style="3" customWidth="1"/>
    <col min="14083" max="14083" width="35.5546875" style="3" customWidth="1"/>
    <col min="14084" max="14084" width="22.44140625" style="3" customWidth="1"/>
    <col min="14085" max="14085" width="37.6640625" style="3" customWidth="1"/>
    <col min="14086" max="14086" width="17.6640625" style="3" customWidth="1"/>
    <col min="14087" max="14087" width="27.44140625" style="3" bestFit="1" customWidth="1"/>
    <col min="14088" max="14336" width="8.6640625" style="3"/>
    <col min="14337" max="14337" width="14.33203125" style="3" customWidth="1"/>
    <col min="14338" max="14338" width="26.6640625" style="3" customWidth="1"/>
    <col min="14339" max="14339" width="35.5546875" style="3" customWidth="1"/>
    <col min="14340" max="14340" width="22.44140625" style="3" customWidth="1"/>
    <col min="14341" max="14341" width="37.6640625" style="3" customWidth="1"/>
    <col min="14342" max="14342" width="17.6640625" style="3" customWidth="1"/>
    <col min="14343" max="14343" width="27.44140625" style="3" bestFit="1" customWidth="1"/>
    <col min="14344" max="14592" width="8.6640625" style="3"/>
    <col min="14593" max="14593" width="14.33203125" style="3" customWidth="1"/>
    <col min="14594" max="14594" width="26.6640625" style="3" customWidth="1"/>
    <col min="14595" max="14595" width="35.5546875" style="3" customWidth="1"/>
    <col min="14596" max="14596" width="22.44140625" style="3" customWidth="1"/>
    <col min="14597" max="14597" width="37.6640625" style="3" customWidth="1"/>
    <col min="14598" max="14598" width="17.6640625" style="3" customWidth="1"/>
    <col min="14599" max="14599" width="27.44140625" style="3" bestFit="1" customWidth="1"/>
    <col min="14600" max="14848" width="8.6640625" style="3"/>
    <col min="14849" max="14849" width="14.33203125" style="3" customWidth="1"/>
    <col min="14850" max="14850" width="26.6640625" style="3" customWidth="1"/>
    <col min="14851" max="14851" width="35.5546875" style="3" customWidth="1"/>
    <col min="14852" max="14852" width="22.44140625" style="3" customWidth="1"/>
    <col min="14853" max="14853" width="37.6640625" style="3" customWidth="1"/>
    <col min="14854" max="14854" width="17.6640625" style="3" customWidth="1"/>
    <col min="14855" max="14855" width="27.44140625" style="3" bestFit="1" customWidth="1"/>
    <col min="14856" max="15104" width="8.6640625" style="3"/>
    <col min="15105" max="15105" width="14.33203125" style="3" customWidth="1"/>
    <col min="15106" max="15106" width="26.6640625" style="3" customWidth="1"/>
    <col min="15107" max="15107" width="35.5546875" style="3" customWidth="1"/>
    <col min="15108" max="15108" width="22.44140625" style="3" customWidth="1"/>
    <col min="15109" max="15109" width="37.6640625" style="3" customWidth="1"/>
    <col min="15110" max="15110" width="17.6640625" style="3" customWidth="1"/>
    <col min="15111" max="15111" width="27.44140625" style="3" bestFit="1" customWidth="1"/>
    <col min="15112" max="15360" width="8.6640625" style="3"/>
    <col min="15361" max="15361" width="14.33203125" style="3" customWidth="1"/>
    <col min="15362" max="15362" width="26.6640625" style="3" customWidth="1"/>
    <col min="15363" max="15363" width="35.5546875" style="3" customWidth="1"/>
    <col min="15364" max="15364" width="22.44140625" style="3" customWidth="1"/>
    <col min="15365" max="15365" width="37.6640625" style="3" customWidth="1"/>
    <col min="15366" max="15366" width="17.6640625" style="3" customWidth="1"/>
    <col min="15367" max="15367" width="27.44140625" style="3" bestFit="1" customWidth="1"/>
    <col min="15368" max="15616" width="8.6640625" style="3"/>
    <col min="15617" max="15617" width="14.33203125" style="3" customWidth="1"/>
    <col min="15618" max="15618" width="26.6640625" style="3" customWidth="1"/>
    <col min="15619" max="15619" width="35.5546875" style="3" customWidth="1"/>
    <col min="15620" max="15620" width="22.44140625" style="3" customWidth="1"/>
    <col min="15621" max="15621" width="37.6640625" style="3" customWidth="1"/>
    <col min="15622" max="15622" width="17.6640625" style="3" customWidth="1"/>
    <col min="15623" max="15623" width="27.44140625" style="3" bestFit="1" customWidth="1"/>
    <col min="15624" max="15872" width="8.6640625" style="3"/>
    <col min="15873" max="15873" width="14.33203125" style="3" customWidth="1"/>
    <col min="15874" max="15874" width="26.6640625" style="3" customWidth="1"/>
    <col min="15875" max="15875" width="35.5546875" style="3" customWidth="1"/>
    <col min="15876" max="15876" width="22.44140625" style="3" customWidth="1"/>
    <col min="15877" max="15877" width="37.6640625" style="3" customWidth="1"/>
    <col min="15878" max="15878" width="17.6640625" style="3" customWidth="1"/>
    <col min="15879" max="15879" width="27.44140625" style="3" bestFit="1" customWidth="1"/>
    <col min="15880" max="16128" width="8.6640625" style="3"/>
    <col min="16129" max="16129" width="14.33203125" style="3" customWidth="1"/>
    <col min="16130" max="16130" width="26.6640625" style="3" customWidth="1"/>
    <col min="16131" max="16131" width="35.5546875" style="3" customWidth="1"/>
    <col min="16132" max="16132" width="22.44140625" style="3" customWidth="1"/>
    <col min="16133" max="16133" width="37.6640625" style="3" customWidth="1"/>
    <col min="16134" max="16134" width="17.6640625" style="3" customWidth="1"/>
    <col min="16135" max="16135" width="27.44140625" style="3" bestFit="1" customWidth="1"/>
    <col min="16136" max="16384" width="8.6640625" style="3"/>
  </cols>
  <sheetData>
    <row r="1" spans="1:7" x14ac:dyDescent="0.3">
      <c r="A1" s="134"/>
      <c r="B1" s="134" t="s">
        <v>81</v>
      </c>
      <c r="C1" s="134" t="s">
        <v>82</v>
      </c>
      <c r="D1" s="134"/>
      <c r="E1" s="134"/>
      <c r="F1" s="134"/>
      <c r="G1" s="134"/>
    </row>
    <row r="2" spans="1:7" ht="28.8" x14ac:dyDescent="0.3">
      <c r="A2" s="134"/>
      <c r="B2" s="134" t="s">
        <v>83</v>
      </c>
      <c r="C2" s="134" t="s">
        <v>84</v>
      </c>
      <c r="D2" s="134"/>
      <c r="E2" s="134"/>
      <c r="F2" s="134"/>
      <c r="G2" s="134"/>
    </row>
    <row r="3" spans="1:7" x14ac:dyDescent="0.3">
      <c r="A3" s="2"/>
      <c r="B3" s="2"/>
      <c r="C3" s="2"/>
      <c r="D3" s="2"/>
      <c r="E3" s="2"/>
      <c r="F3" s="2"/>
      <c r="G3" s="135"/>
    </row>
    <row r="4" spans="1:7" ht="43.2" x14ac:dyDescent="0.3">
      <c r="A4" s="136"/>
      <c r="B4" s="136" t="s">
        <v>85</v>
      </c>
      <c r="C4" s="136"/>
      <c r="D4" s="136"/>
      <c r="E4" s="136"/>
      <c r="F4" s="136"/>
      <c r="G4" s="2"/>
    </row>
    <row r="5" spans="1:7" x14ac:dyDescent="0.3">
      <c r="A5" s="137" t="s">
        <v>86</v>
      </c>
      <c r="B5" s="137" t="s">
        <v>87</v>
      </c>
      <c r="C5" s="137" t="s">
        <v>87</v>
      </c>
      <c r="D5" s="137" t="s">
        <v>87</v>
      </c>
      <c r="E5" s="137" t="s">
        <v>87</v>
      </c>
      <c r="F5" s="137" t="s">
        <v>88</v>
      </c>
      <c r="G5" s="2"/>
    </row>
    <row r="6" spans="1:7" x14ac:dyDescent="0.3">
      <c r="A6" s="2"/>
      <c r="B6" s="157" t="s">
        <v>89</v>
      </c>
      <c r="C6" s="158"/>
      <c r="D6" s="158"/>
      <c r="E6" s="159"/>
      <c r="F6" s="2"/>
      <c r="G6" s="2"/>
    </row>
    <row r="7" spans="1:7" ht="28.8" x14ac:dyDescent="0.3">
      <c r="A7" s="2"/>
      <c r="B7" s="138" t="s">
        <v>90</v>
      </c>
      <c r="C7" s="138" t="s">
        <v>91</v>
      </c>
      <c r="D7" s="138" t="s">
        <v>92</v>
      </c>
      <c r="E7" s="138" t="s">
        <v>93</v>
      </c>
      <c r="F7" s="2" t="s">
        <v>94</v>
      </c>
      <c r="G7" s="2"/>
    </row>
    <row r="8" spans="1:7" x14ac:dyDescent="0.3">
      <c r="A8" s="136"/>
      <c r="B8" s="136" t="s">
        <v>2</v>
      </c>
      <c r="C8" s="136" t="s">
        <v>95</v>
      </c>
      <c r="D8" s="136" t="s">
        <v>96</v>
      </c>
      <c r="E8" s="136" t="s">
        <v>97</v>
      </c>
      <c r="F8" s="136" t="s">
        <v>98</v>
      </c>
      <c r="G8" s="2"/>
    </row>
    <row r="9" spans="1:7" ht="28.8" x14ac:dyDescent="0.3">
      <c r="A9" s="2" t="s">
        <v>99</v>
      </c>
      <c r="B9" s="2" t="s">
        <v>100</v>
      </c>
      <c r="C9" s="2" t="b">
        <v>1</v>
      </c>
      <c r="D9" s="2"/>
      <c r="E9" s="139" t="s">
        <v>101</v>
      </c>
      <c r="F9" s="2" t="b">
        <v>1</v>
      </c>
      <c r="G9" s="2"/>
    </row>
    <row r="10" spans="1:7" ht="28.8" x14ac:dyDescent="0.3">
      <c r="A10" s="2"/>
      <c r="B10" s="2" t="s">
        <v>100</v>
      </c>
      <c r="C10" s="2" t="b">
        <v>0</v>
      </c>
      <c r="D10" s="2"/>
      <c r="E10" s="139" t="s">
        <v>102</v>
      </c>
      <c r="F10" s="2" t="b">
        <v>1</v>
      </c>
      <c r="G10" s="2"/>
    </row>
    <row r="11" spans="1:7" ht="28.8" x14ac:dyDescent="0.3">
      <c r="A11" s="2"/>
      <c r="B11" s="2" t="s">
        <v>100</v>
      </c>
      <c r="C11" s="2" t="b">
        <v>1</v>
      </c>
      <c r="D11" s="2" t="s">
        <v>103</v>
      </c>
      <c r="E11" s="139" t="s">
        <v>104</v>
      </c>
      <c r="F11" s="2" t="b">
        <v>1</v>
      </c>
      <c r="G11" s="2"/>
    </row>
    <row r="12" spans="1:7" ht="28.8" x14ac:dyDescent="0.3">
      <c r="A12" s="2"/>
      <c r="B12" s="2" t="s">
        <v>100</v>
      </c>
      <c r="C12" s="2" t="b">
        <v>1</v>
      </c>
      <c r="D12" s="2"/>
      <c r="E12" s="2" t="s">
        <v>105</v>
      </c>
      <c r="F12" s="2" t="b">
        <v>1</v>
      </c>
    </row>
    <row r="13" spans="1:7" x14ac:dyDescent="0.3">
      <c r="A13" s="2"/>
      <c r="B13" s="2" t="s">
        <v>106</v>
      </c>
      <c r="C13" s="2"/>
      <c r="D13" s="2"/>
      <c r="E13" s="2"/>
      <c r="F13" s="2" t="b">
        <v>1</v>
      </c>
      <c r="G13" s="2"/>
    </row>
    <row r="15" spans="1:7" ht="28.8" x14ac:dyDescent="0.3">
      <c r="A15" s="136"/>
      <c r="B15" s="136" t="s">
        <v>107</v>
      </c>
      <c r="C15" s="136"/>
      <c r="D15" s="136"/>
      <c r="E15" s="136"/>
      <c r="F15" s="136"/>
      <c r="G15" s="136"/>
    </row>
    <row r="16" spans="1:7" x14ac:dyDescent="0.3">
      <c r="A16" s="137" t="s">
        <v>86</v>
      </c>
      <c r="B16" s="137" t="s">
        <v>87</v>
      </c>
      <c r="C16" s="137" t="s">
        <v>87</v>
      </c>
      <c r="D16" s="137" t="s">
        <v>87</v>
      </c>
      <c r="E16" s="137" t="s">
        <v>87</v>
      </c>
      <c r="F16" s="137" t="s">
        <v>87</v>
      </c>
      <c r="G16" s="137" t="s">
        <v>88</v>
      </c>
    </row>
    <row r="17" spans="1:7" x14ac:dyDescent="0.3">
      <c r="A17" s="2"/>
      <c r="B17" s="157" t="s">
        <v>89</v>
      </c>
      <c r="C17" s="158"/>
      <c r="D17" s="158"/>
      <c r="E17" s="158"/>
      <c r="F17" s="159"/>
      <c r="G17" s="2"/>
    </row>
    <row r="18" spans="1:7" ht="26.4" x14ac:dyDescent="0.3">
      <c r="A18" s="2"/>
      <c r="B18" s="138" t="s">
        <v>90</v>
      </c>
      <c r="C18" s="138" t="s">
        <v>108</v>
      </c>
      <c r="D18" s="138" t="s">
        <v>109</v>
      </c>
      <c r="E18" s="138" t="s">
        <v>93</v>
      </c>
      <c r="F18" s="138" t="s">
        <v>110</v>
      </c>
      <c r="G18" s="2" t="s">
        <v>94</v>
      </c>
    </row>
    <row r="19" spans="1:7" ht="28.8" x14ac:dyDescent="0.3">
      <c r="A19" s="136"/>
      <c r="B19" s="136" t="s">
        <v>2</v>
      </c>
      <c r="C19" s="136" t="s">
        <v>95</v>
      </c>
      <c r="D19" s="136" t="s">
        <v>111</v>
      </c>
      <c r="E19" s="136" t="s">
        <v>112</v>
      </c>
      <c r="F19" s="136" t="s">
        <v>113</v>
      </c>
      <c r="G19" s="136" t="s">
        <v>98</v>
      </c>
    </row>
    <row r="20" spans="1:7" ht="28.8" x14ac:dyDescent="0.3">
      <c r="A20" s="2" t="s">
        <v>114</v>
      </c>
      <c r="B20" s="2" t="s">
        <v>115</v>
      </c>
      <c r="C20" s="2" t="b">
        <v>1</v>
      </c>
      <c r="D20" s="2"/>
      <c r="E20" s="2" t="s">
        <v>116</v>
      </c>
      <c r="F20" s="2" t="s">
        <v>117</v>
      </c>
      <c r="G20" s="2" t="b">
        <v>1</v>
      </c>
    </row>
    <row r="21" spans="1:7" ht="28.8" x14ac:dyDescent="0.3">
      <c r="A21" s="2"/>
      <c r="B21" s="2" t="s">
        <v>118</v>
      </c>
      <c r="C21" s="2" t="b">
        <v>1</v>
      </c>
      <c r="D21" s="2"/>
      <c r="E21" s="2" t="s">
        <v>116</v>
      </c>
      <c r="F21" s="2" t="s">
        <v>119</v>
      </c>
      <c r="G21" s="2" t="b">
        <v>1</v>
      </c>
    </row>
    <row r="22" spans="1:7" ht="28.8" x14ac:dyDescent="0.3">
      <c r="A22" s="2"/>
      <c r="B22" s="2" t="s">
        <v>120</v>
      </c>
      <c r="C22" s="2" t="b">
        <v>1</v>
      </c>
      <c r="D22" s="2"/>
      <c r="E22" s="2" t="s">
        <v>116</v>
      </c>
      <c r="F22" s="2">
        <v>83</v>
      </c>
      <c r="G22" s="2" t="b">
        <v>1</v>
      </c>
    </row>
    <row r="23" spans="1:7" ht="28.8" x14ac:dyDescent="0.3">
      <c r="A23" s="2"/>
      <c r="B23" s="2" t="s">
        <v>121</v>
      </c>
      <c r="C23" s="2" t="b">
        <v>1</v>
      </c>
      <c r="D23" s="2"/>
      <c r="E23" s="2" t="s">
        <v>116</v>
      </c>
      <c r="F23" s="2"/>
      <c r="G23" s="2" t="b">
        <v>1</v>
      </c>
    </row>
    <row r="24" spans="1:7" x14ac:dyDescent="0.3">
      <c r="A24" s="2"/>
      <c r="B24" s="2" t="s">
        <v>122</v>
      </c>
      <c r="C24" s="2" t="b">
        <v>1</v>
      </c>
      <c r="D24" s="2" t="s">
        <v>123</v>
      </c>
      <c r="E24" s="140" t="s">
        <v>104</v>
      </c>
      <c r="F24" s="2"/>
      <c r="G24" s="2" t="b">
        <v>1</v>
      </c>
    </row>
    <row r="25" spans="1:7" x14ac:dyDescent="0.3">
      <c r="A25" s="2"/>
      <c r="B25" s="2" t="s">
        <v>124</v>
      </c>
      <c r="C25" s="2" t="b">
        <v>1</v>
      </c>
      <c r="D25" s="2"/>
      <c r="E25" s="140" t="s">
        <v>125</v>
      </c>
      <c r="F25" s="2"/>
      <c r="G25" s="2" t="b">
        <v>1</v>
      </c>
    </row>
    <row r="26" spans="1:7" x14ac:dyDescent="0.3">
      <c r="A26" s="2"/>
      <c r="B26" s="2" t="s">
        <v>126</v>
      </c>
      <c r="C26" s="2" t="b">
        <v>1</v>
      </c>
      <c r="D26" s="2"/>
      <c r="E26" s="140"/>
      <c r="F26" s="2"/>
      <c r="G26" s="2" t="b">
        <v>1</v>
      </c>
    </row>
    <row r="27" spans="1:7" x14ac:dyDescent="0.3">
      <c r="B27" s="160"/>
      <c r="C27" s="160"/>
      <c r="D27" s="160"/>
      <c r="E27" s="160"/>
      <c r="F27" s="160"/>
      <c r="G27" s="160"/>
    </row>
    <row r="28" spans="1:7" x14ac:dyDescent="0.3">
      <c r="B28" s="141"/>
      <c r="C28" s="142"/>
      <c r="D28" s="141"/>
      <c r="E28" s="141"/>
      <c r="F28" s="141"/>
      <c r="G28" s="141"/>
    </row>
    <row r="29" spans="1:7" x14ac:dyDescent="0.3">
      <c r="C29" s="142"/>
    </row>
    <row r="32" spans="1:7" x14ac:dyDescent="0.3">
      <c r="C32" s="143"/>
    </row>
    <row r="33" spans="3:3" x14ac:dyDescent="0.3">
      <c r="C33" s="144"/>
    </row>
    <row r="35" spans="3:3" x14ac:dyDescent="0.3">
      <c r="C35" s="144"/>
    </row>
    <row r="36" spans="3:3" x14ac:dyDescent="0.3">
      <c r="C36" s="144"/>
    </row>
    <row r="37" spans="3:3" x14ac:dyDescent="0.3">
      <c r="C37" s="144"/>
    </row>
    <row r="39" spans="3:3" x14ac:dyDescent="0.3">
      <c r="C39" s="144"/>
    </row>
    <row r="40" spans="3:3" x14ac:dyDescent="0.3">
      <c r="C40" s="144"/>
    </row>
    <row r="41" spans="3:3" x14ac:dyDescent="0.3">
      <c r="C41" s="144"/>
    </row>
    <row r="44" spans="3:3" x14ac:dyDescent="0.3">
      <c r="C44" s="144"/>
    </row>
    <row r="45" spans="3:3" x14ac:dyDescent="0.3">
      <c r="C45" s="144"/>
    </row>
    <row r="46" spans="3:3" x14ac:dyDescent="0.3">
      <c r="C46" s="144"/>
    </row>
    <row r="47" spans="3:3" x14ac:dyDescent="0.3">
      <c r="C47" s="144"/>
    </row>
  </sheetData>
  <mergeCells count="3">
    <mergeCell ref="B6:E6"/>
    <mergeCell ref="B17:F17"/>
    <mergeCell ref="B27:G27"/>
  </mergeCells>
  <pageMargins left="0.7" right="0.7" top="0.75" bottom="0.75" header="0.3" footer="0.3"/>
  <pageSetup orientation="portrait" horizontalDpi="90" verticalDpi="9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3B6F6-596D-4913-9135-96B2DA8B2932}">
  <sheetPr>
    <tabColor theme="2" tint="-9.9978637043366805E-2"/>
  </sheetPr>
  <dimension ref="A1:H9"/>
  <sheetViews>
    <sheetView showGridLines="0" workbookViewId="0"/>
  </sheetViews>
  <sheetFormatPr defaultColWidth="57.33203125" defaultRowHeight="14.4" x14ac:dyDescent="0.3"/>
  <cols>
    <col min="1" max="1" width="5.6640625" style="14" bestFit="1" customWidth="1"/>
    <col min="2" max="2" width="57.33203125" bestFit="1" customWidth="1"/>
    <col min="3" max="3" width="33.33203125" bestFit="1" customWidth="1"/>
    <col min="4" max="4" width="16.33203125" bestFit="1" customWidth="1"/>
    <col min="5" max="5" width="9.5546875" bestFit="1" customWidth="1"/>
    <col min="6" max="6" width="7" bestFit="1" customWidth="1"/>
    <col min="7" max="7" width="4.5546875" bestFit="1" customWidth="1"/>
    <col min="8" max="8" width="103.6640625" customWidth="1"/>
  </cols>
  <sheetData>
    <row r="1" spans="1:8" ht="27" thickBot="1" x14ac:dyDescent="0.35">
      <c r="A1" s="87" t="s">
        <v>127</v>
      </c>
      <c r="B1" s="89" t="s">
        <v>128</v>
      </c>
      <c r="C1" s="89" t="s">
        <v>129</v>
      </c>
      <c r="D1" s="89" t="s">
        <v>130</v>
      </c>
      <c r="E1" s="89" t="s">
        <v>131</v>
      </c>
      <c r="F1" s="89" t="s">
        <v>132</v>
      </c>
      <c r="G1" s="90" t="s">
        <v>133</v>
      </c>
      <c r="H1" s="90" t="s">
        <v>134</v>
      </c>
    </row>
    <row r="2" spans="1:8" ht="93" thickBot="1" x14ac:dyDescent="0.35">
      <c r="A2" s="88">
        <v>1</v>
      </c>
      <c r="B2" s="84" t="s">
        <v>135</v>
      </c>
      <c r="C2" s="84" t="s">
        <v>136</v>
      </c>
      <c r="D2" s="84" t="s">
        <v>137</v>
      </c>
      <c r="E2" s="84" t="s">
        <v>138</v>
      </c>
      <c r="F2" s="84" t="s">
        <v>139</v>
      </c>
      <c r="G2" s="85"/>
      <c r="H2" s="85" t="s">
        <v>140</v>
      </c>
    </row>
    <row r="3" spans="1:8" ht="26.4" x14ac:dyDescent="0.3">
      <c r="A3" s="163">
        <v>2</v>
      </c>
      <c r="B3" s="86" t="s">
        <v>141</v>
      </c>
      <c r="C3" s="161" t="s">
        <v>136</v>
      </c>
      <c r="D3" s="161" t="s">
        <v>139</v>
      </c>
      <c r="E3" s="161"/>
      <c r="F3" s="161" t="s">
        <v>139</v>
      </c>
      <c r="G3" s="161"/>
      <c r="H3" s="161" t="s">
        <v>142</v>
      </c>
    </row>
    <row r="4" spans="1:8" ht="27" thickBot="1" x14ac:dyDescent="0.35">
      <c r="A4" s="164"/>
      <c r="B4" s="84" t="s">
        <v>143</v>
      </c>
      <c r="C4" s="162"/>
      <c r="D4" s="162"/>
      <c r="E4" s="162"/>
      <c r="F4" s="162"/>
      <c r="G4" s="162"/>
      <c r="H4" s="162"/>
    </row>
    <row r="5" spans="1:8" ht="26.4" x14ac:dyDescent="0.3">
      <c r="A5" s="163">
        <v>3</v>
      </c>
      <c r="B5" s="86" t="s">
        <v>144</v>
      </c>
      <c r="C5" s="86" t="s">
        <v>145</v>
      </c>
      <c r="D5" s="161" t="s">
        <v>139</v>
      </c>
      <c r="E5" s="161"/>
      <c r="F5" s="161" t="s">
        <v>139</v>
      </c>
      <c r="G5" s="161"/>
      <c r="H5" s="161" t="s">
        <v>146</v>
      </c>
    </row>
    <row r="6" spans="1:8" ht="27" thickBot="1" x14ac:dyDescent="0.35">
      <c r="A6" s="164"/>
      <c r="B6" s="84" t="s">
        <v>147</v>
      </c>
      <c r="C6" s="84" t="s">
        <v>148</v>
      </c>
      <c r="D6" s="162"/>
      <c r="E6" s="162"/>
      <c r="F6" s="162"/>
      <c r="G6" s="162"/>
      <c r="H6" s="162"/>
    </row>
    <row r="7" spans="1:8" ht="27" thickBot="1" x14ac:dyDescent="0.35">
      <c r="A7" s="88">
        <v>4</v>
      </c>
      <c r="B7" s="84" t="s">
        <v>149</v>
      </c>
      <c r="C7" s="84" t="s">
        <v>136</v>
      </c>
      <c r="D7" s="84" t="s">
        <v>150</v>
      </c>
      <c r="E7" s="84"/>
      <c r="F7" s="84" t="s">
        <v>151</v>
      </c>
      <c r="G7" s="84"/>
      <c r="H7" s="84" t="s">
        <v>152</v>
      </c>
    </row>
    <row r="8" spans="1:8" ht="27" thickBot="1" x14ac:dyDescent="0.35">
      <c r="A8" s="88">
        <v>5</v>
      </c>
      <c r="B8" s="84" t="s">
        <v>153</v>
      </c>
      <c r="C8" s="84" t="s">
        <v>154</v>
      </c>
      <c r="D8" s="84" t="s">
        <v>137</v>
      </c>
      <c r="E8" s="84" t="s">
        <v>139</v>
      </c>
      <c r="F8" s="84" t="s">
        <v>139</v>
      </c>
      <c r="G8" s="84"/>
      <c r="H8" s="84"/>
    </row>
    <row r="9" spans="1:8" ht="27" thickBot="1" x14ac:dyDescent="0.35">
      <c r="A9" s="88">
        <v>6</v>
      </c>
      <c r="B9" s="84" t="s">
        <v>155</v>
      </c>
      <c r="C9" s="84" t="s">
        <v>156</v>
      </c>
      <c r="D9" s="84" t="s">
        <v>137</v>
      </c>
      <c r="E9" s="84" t="s">
        <v>151</v>
      </c>
      <c r="F9" s="84" t="s">
        <v>151</v>
      </c>
      <c r="G9" s="84"/>
      <c r="H9" s="84"/>
    </row>
  </sheetData>
  <mergeCells count="13">
    <mergeCell ref="H3:H4"/>
    <mergeCell ref="H5:H6"/>
    <mergeCell ref="A3:A4"/>
    <mergeCell ref="C3:C4"/>
    <mergeCell ref="D3:D4"/>
    <mergeCell ref="E3:E4"/>
    <mergeCell ref="F3:F4"/>
    <mergeCell ref="G3:G4"/>
    <mergeCell ref="A5:A6"/>
    <mergeCell ref="D5:D6"/>
    <mergeCell ref="E5:E6"/>
    <mergeCell ref="F5:F6"/>
    <mergeCell ref="G5:G6"/>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49943-91AC-41EA-A283-EE49A8987BDB}">
  <sheetPr>
    <tabColor theme="9" tint="0.79998168889431442"/>
  </sheetPr>
  <dimension ref="A1:P649"/>
  <sheetViews>
    <sheetView showGridLines="0" zoomScaleNormal="100" workbookViewId="0">
      <pane xSplit="4" ySplit="1" topLeftCell="G12" activePane="bottomRight" state="frozen"/>
      <selection pane="topRight" activeCell="E1" sqref="E1"/>
      <selection pane="bottomLeft" activeCell="A2" sqref="A2"/>
      <selection pane="bottomRight" activeCell="G12" sqref="G12"/>
    </sheetView>
  </sheetViews>
  <sheetFormatPr defaultRowHeight="14.4" x14ac:dyDescent="0.3"/>
  <cols>
    <col min="1" max="1" width="14.44140625" style="107" bestFit="1" customWidth="1"/>
    <col min="2" max="2" width="16.6640625" style="107" customWidth="1"/>
    <col min="3" max="3" width="5.6640625" customWidth="1"/>
    <col min="4" max="8" width="15.6640625" style="100" customWidth="1"/>
    <col min="9" max="9" width="15.6640625" style="101" customWidth="1"/>
    <col min="10" max="11" width="4.6640625" style="4" customWidth="1"/>
    <col min="12" max="12" width="4.6640625" customWidth="1"/>
    <col min="13" max="13" width="34.33203125" bestFit="1" customWidth="1"/>
    <col min="14" max="14" width="16.5546875" bestFit="1" customWidth="1"/>
    <col min="15" max="16" width="16.33203125" bestFit="1" customWidth="1"/>
  </cols>
  <sheetData>
    <row r="1" spans="1:16" s="97" customFormat="1" ht="31.2" customHeight="1" x14ac:dyDescent="0.35">
      <c r="A1" s="92" t="s">
        <v>157</v>
      </c>
      <c r="B1" s="93"/>
      <c r="C1" s="94"/>
      <c r="D1" s="95" t="s">
        <v>158</v>
      </c>
      <c r="E1" s="95" t="s">
        <v>159</v>
      </c>
      <c r="F1" s="95" t="s">
        <v>160</v>
      </c>
      <c r="G1" s="95" t="s">
        <v>161</v>
      </c>
      <c r="H1" s="95" t="s">
        <v>162</v>
      </c>
      <c r="I1" s="95" t="s">
        <v>163</v>
      </c>
      <c r="J1" s="96"/>
      <c r="K1" s="96"/>
    </row>
    <row r="2" spans="1:16" x14ac:dyDescent="0.3">
      <c r="A2" s="98" t="s">
        <v>164</v>
      </c>
      <c r="B2" s="99"/>
      <c r="D2" s="100" t="s">
        <v>165</v>
      </c>
      <c r="E2" s="100" t="s">
        <v>166</v>
      </c>
      <c r="F2" s="100" t="s">
        <v>167</v>
      </c>
      <c r="G2" s="100" t="s">
        <v>168</v>
      </c>
      <c r="H2" s="100" t="s">
        <v>83</v>
      </c>
      <c r="I2" s="101">
        <v>354175</v>
      </c>
      <c r="M2" s="108" t="s">
        <v>169</v>
      </c>
      <c r="N2" s="108" t="s">
        <v>162</v>
      </c>
    </row>
    <row r="3" spans="1:16" x14ac:dyDescent="0.3">
      <c r="A3" s="102" t="s">
        <v>170</v>
      </c>
      <c r="B3" s="103"/>
      <c r="D3" s="100" t="s">
        <v>165</v>
      </c>
      <c r="E3" s="100" t="s">
        <v>166</v>
      </c>
      <c r="F3" s="100" t="s">
        <v>171</v>
      </c>
      <c r="G3" s="100" t="s">
        <v>168</v>
      </c>
      <c r="H3" s="100" t="s">
        <v>83</v>
      </c>
      <c r="I3" s="101">
        <v>570745</v>
      </c>
      <c r="M3" s="108" t="s">
        <v>159</v>
      </c>
      <c r="N3" t="s">
        <v>172</v>
      </c>
      <c r="O3" t="s">
        <v>83</v>
      </c>
      <c r="P3" t="s">
        <v>173</v>
      </c>
    </row>
    <row r="4" spans="1:16" x14ac:dyDescent="0.3">
      <c r="A4" s="102" t="s">
        <v>174</v>
      </c>
      <c r="B4" s="103"/>
      <c r="D4" s="100" t="s">
        <v>165</v>
      </c>
      <c r="E4" s="100" t="s">
        <v>166</v>
      </c>
      <c r="F4" s="100" t="s">
        <v>175</v>
      </c>
      <c r="G4" s="100" t="s">
        <v>168</v>
      </c>
      <c r="H4" s="100" t="s">
        <v>83</v>
      </c>
      <c r="I4" s="101">
        <v>62182</v>
      </c>
      <c r="M4" s="4" t="s">
        <v>176</v>
      </c>
      <c r="N4" s="109">
        <v>22534055.610000003</v>
      </c>
      <c r="O4" s="109">
        <v>107380335.28999999</v>
      </c>
      <c r="P4" s="109">
        <v>129914390.89999999</v>
      </c>
    </row>
    <row r="5" spans="1:16" x14ac:dyDescent="0.3">
      <c r="A5" s="102" t="s">
        <v>177</v>
      </c>
      <c r="B5" s="103"/>
      <c r="D5" s="100" t="s">
        <v>165</v>
      </c>
      <c r="E5" s="100" t="s">
        <v>166</v>
      </c>
      <c r="F5" s="100" t="s">
        <v>178</v>
      </c>
      <c r="G5" s="100" t="s">
        <v>168</v>
      </c>
      <c r="H5" s="100" t="s">
        <v>83</v>
      </c>
      <c r="I5" s="101">
        <v>2133950</v>
      </c>
      <c r="M5" s="4" t="s">
        <v>179</v>
      </c>
      <c r="N5" s="109">
        <v>2514986</v>
      </c>
      <c r="O5" s="109">
        <v>2504780</v>
      </c>
      <c r="P5" s="109">
        <v>5019766</v>
      </c>
    </row>
    <row r="6" spans="1:16" x14ac:dyDescent="0.3">
      <c r="A6" s="102" t="s">
        <v>180</v>
      </c>
      <c r="B6" s="103"/>
      <c r="D6" s="100" t="s">
        <v>165</v>
      </c>
      <c r="E6" s="100" t="s">
        <v>166</v>
      </c>
      <c r="F6" s="100" t="s">
        <v>181</v>
      </c>
      <c r="G6" s="100" t="s">
        <v>168</v>
      </c>
      <c r="H6" s="100" t="s">
        <v>83</v>
      </c>
      <c r="I6" s="101">
        <v>69387</v>
      </c>
      <c r="M6" s="4" t="s">
        <v>166</v>
      </c>
      <c r="N6" s="109">
        <v>45559373</v>
      </c>
      <c r="O6" s="109">
        <v>28464546</v>
      </c>
      <c r="P6" s="109">
        <v>74023919</v>
      </c>
    </row>
    <row r="7" spans="1:16" x14ac:dyDescent="0.3">
      <c r="A7" s="102"/>
      <c r="B7" s="103"/>
      <c r="D7" s="100" t="s">
        <v>165</v>
      </c>
      <c r="E7" s="100" t="s">
        <v>166</v>
      </c>
      <c r="F7" s="100" t="s">
        <v>182</v>
      </c>
      <c r="G7" s="100" t="s">
        <v>168</v>
      </c>
      <c r="H7" s="100" t="s">
        <v>83</v>
      </c>
      <c r="I7" s="101">
        <v>220060</v>
      </c>
      <c r="M7" s="4" t="s">
        <v>183</v>
      </c>
      <c r="N7" s="109">
        <v>3457478.9249610947</v>
      </c>
      <c r="O7" s="109">
        <v>4589225.6619299594</v>
      </c>
      <c r="P7" s="109">
        <v>8046704.5868910542</v>
      </c>
    </row>
    <row r="8" spans="1:16" x14ac:dyDescent="0.3">
      <c r="A8" s="102"/>
      <c r="B8" s="103"/>
      <c r="D8" s="100" t="s">
        <v>165</v>
      </c>
      <c r="E8" s="100" t="s">
        <v>166</v>
      </c>
      <c r="F8" s="100" t="s">
        <v>184</v>
      </c>
      <c r="G8" s="100" t="s">
        <v>168</v>
      </c>
      <c r="H8" s="100" t="s">
        <v>83</v>
      </c>
      <c r="I8" s="101">
        <v>3989225</v>
      </c>
      <c r="M8" s="4" t="s">
        <v>185</v>
      </c>
      <c r="N8" s="109">
        <v>30010961</v>
      </c>
      <c r="O8" s="109">
        <v>4918179</v>
      </c>
      <c r="P8" s="109">
        <v>34929140</v>
      </c>
    </row>
    <row r="9" spans="1:16" x14ac:dyDescent="0.3">
      <c r="A9" s="102"/>
      <c r="B9" s="103"/>
      <c r="D9" s="100" t="s">
        <v>165</v>
      </c>
      <c r="E9" s="100" t="s">
        <v>166</v>
      </c>
      <c r="F9" s="100" t="s">
        <v>186</v>
      </c>
      <c r="G9" s="100" t="s">
        <v>168</v>
      </c>
      <c r="H9" s="100" t="s">
        <v>83</v>
      </c>
      <c r="I9" s="101">
        <v>404875</v>
      </c>
      <c r="M9" s="4" t="s">
        <v>173</v>
      </c>
      <c r="N9" s="109">
        <v>104076854.53496109</v>
      </c>
      <c r="O9" s="109">
        <v>147857065.95192996</v>
      </c>
      <c r="P9" s="109">
        <v>251933920.48689103</v>
      </c>
    </row>
    <row r="10" spans="1:16" x14ac:dyDescent="0.3">
      <c r="A10" s="102"/>
      <c r="B10" s="103"/>
      <c r="D10" s="100" t="s">
        <v>165</v>
      </c>
      <c r="E10" s="100" t="s">
        <v>166</v>
      </c>
      <c r="F10" s="100" t="s">
        <v>187</v>
      </c>
      <c r="G10" s="100" t="s">
        <v>168</v>
      </c>
      <c r="H10" s="100" t="s">
        <v>83</v>
      </c>
      <c r="I10" s="101">
        <v>45682</v>
      </c>
    </row>
    <row r="11" spans="1:16" x14ac:dyDescent="0.3">
      <c r="A11" s="102"/>
      <c r="B11" s="103"/>
      <c r="D11" s="100" t="s">
        <v>165</v>
      </c>
      <c r="E11" s="100" t="s">
        <v>166</v>
      </c>
      <c r="F11" s="100" t="s">
        <v>188</v>
      </c>
      <c r="G11" s="100" t="s">
        <v>168</v>
      </c>
      <c r="H11" s="100" t="s">
        <v>83</v>
      </c>
      <c r="I11" s="101">
        <v>986178</v>
      </c>
    </row>
    <row r="12" spans="1:16" x14ac:dyDescent="0.3">
      <c r="A12" s="102"/>
      <c r="B12" s="103"/>
      <c r="D12" s="100" t="s">
        <v>165</v>
      </c>
      <c r="E12" s="100" t="s">
        <v>166</v>
      </c>
      <c r="F12" s="100" t="s">
        <v>189</v>
      </c>
      <c r="G12" s="100" t="s">
        <v>168</v>
      </c>
      <c r="H12" s="100" t="s">
        <v>83</v>
      </c>
      <c r="I12" s="101">
        <v>206703</v>
      </c>
    </row>
    <row r="13" spans="1:16" x14ac:dyDescent="0.3">
      <c r="A13" s="102"/>
      <c r="B13" s="103"/>
      <c r="D13" s="100" t="s">
        <v>165</v>
      </c>
      <c r="E13" s="100" t="s">
        <v>166</v>
      </c>
      <c r="F13" s="100" t="s">
        <v>190</v>
      </c>
      <c r="G13" s="100" t="s">
        <v>168</v>
      </c>
      <c r="H13" s="100" t="s">
        <v>83</v>
      </c>
      <c r="I13" s="101">
        <v>3177638</v>
      </c>
    </row>
    <row r="14" spans="1:16" x14ac:dyDescent="0.3">
      <c r="A14" s="102"/>
      <c r="B14" s="103"/>
      <c r="D14" s="100" t="s">
        <v>165</v>
      </c>
      <c r="E14" s="100" t="s">
        <v>166</v>
      </c>
      <c r="F14" s="100" t="s">
        <v>191</v>
      </c>
      <c r="G14" s="100" t="s">
        <v>168</v>
      </c>
      <c r="H14" s="100" t="s">
        <v>83</v>
      </c>
      <c r="I14" s="101">
        <v>2726648</v>
      </c>
    </row>
    <row r="15" spans="1:16" x14ac:dyDescent="0.3">
      <c r="A15" s="102"/>
      <c r="B15" s="103"/>
      <c r="D15" s="100" t="s">
        <v>165</v>
      </c>
      <c r="E15" s="100" t="s">
        <v>166</v>
      </c>
      <c r="F15" s="100" t="s">
        <v>192</v>
      </c>
      <c r="G15" s="100" t="s">
        <v>168</v>
      </c>
      <c r="H15" s="100" t="s">
        <v>83</v>
      </c>
      <c r="I15" s="101">
        <v>136276</v>
      </c>
    </row>
    <row r="16" spans="1:16" x14ac:dyDescent="0.3">
      <c r="A16" s="102"/>
      <c r="B16" s="103"/>
      <c r="D16" s="100" t="s">
        <v>165</v>
      </c>
      <c r="E16" s="100" t="s">
        <v>166</v>
      </c>
      <c r="F16" s="100" t="s">
        <v>193</v>
      </c>
      <c r="G16" s="100" t="s">
        <v>168</v>
      </c>
      <c r="H16" s="100" t="s">
        <v>83</v>
      </c>
      <c r="I16" s="101">
        <v>170292</v>
      </c>
    </row>
    <row r="17" spans="1:9" x14ac:dyDescent="0.3">
      <c r="A17" s="102"/>
      <c r="B17" s="103"/>
      <c r="D17" s="100" t="s">
        <v>165</v>
      </c>
      <c r="E17" s="100" t="s">
        <v>166</v>
      </c>
      <c r="F17" s="100" t="s">
        <v>194</v>
      </c>
      <c r="G17" s="100" t="s">
        <v>168</v>
      </c>
      <c r="H17" s="100" t="s">
        <v>83</v>
      </c>
      <c r="I17" s="101">
        <v>662637</v>
      </c>
    </row>
    <row r="18" spans="1:9" x14ac:dyDescent="0.3">
      <c r="A18" s="102"/>
      <c r="B18" s="103"/>
      <c r="D18" s="100" t="s">
        <v>165</v>
      </c>
      <c r="E18" s="100" t="s">
        <v>166</v>
      </c>
      <c r="F18" s="100" t="s">
        <v>195</v>
      </c>
      <c r="G18" s="100" t="s">
        <v>168</v>
      </c>
      <c r="H18" s="100" t="s">
        <v>83</v>
      </c>
      <c r="I18" s="101">
        <v>1061116</v>
      </c>
    </row>
    <row r="19" spans="1:9" x14ac:dyDescent="0.3">
      <c r="A19" s="102"/>
      <c r="B19" s="103"/>
      <c r="D19" s="100" t="s">
        <v>165</v>
      </c>
      <c r="E19" s="100" t="s">
        <v>166</v>
      </c>
      <c r="F19" s="100" t="s">
        <v>196</v>
      </c>
      <c r="G19" s="100" t="s">
        <v>168</v>
      </c>
      <c r="H19" s="100" t="s">
        <v>83</v>
      </c>
      <c r="I19" s="101">
        <v>1500247</v>
      </c>
    </row>
    <row r="20" spans="1:9" x14ac:dyDescent="0.3">
      <c r="A20" s="102"/>
      <c r="B20" s="103"/>
      <c r="D20" s="100" t="s">
        <v>165</v>
      </c>
      <c r="E20" s="100" t="s">
        <v>166</v>
      </c>
      <c r="F20" s="100" t="s">
        <v>197</v>
      </c>
      <c r="G20" s="100" t="s">
        <v>168</v>
      </c>
      <c r="H20" s="100" t="s">
        <v>83</v>
      </c>
      <c r="I20" s="101">
        <v>59579</v>
      </c>
    </row>
    <row r="21" spans="1:9" x14ac:dyDescent="0.3">
      <c r="A21" s="102"/>
      <c r="B21" s="103"/>
      <c r="D21" s="100" t="s">
        <v>165</v>
      </c>
      <c r="E21" s="100" t="s">
        <v>166</v>
      </c>
      <c r="F21" s="100" t="s">
        <v>198</v>
      </c>
      <c r="G21" s="100" t="s">
        <v>168</v>
      </c>
      <c r="H21" s="100" t="s">
        <v>83</v>
      </c>
      <c r="I21" s="101">
        <v>62123</v>
      </c>
    </row>
    <row r="22" spans="1:9" x14ac:dyDescent="0.3">
      <c r="A22" s="102"/>
      <c r="B22" s="103"/>
      <c r="D22" s="100" t="s">
        <v>165</v>
      </c>
      <c r="E22" s="100" t="s">
        <v>166</v>
      </c>
      <c r="F22" s="100" t="s">
        <v>199</v>
      </c>
      <c r="G22" s="100" t="s">
        <v>168</v>
      </c>
      <c r="H22" s="100" t="s">
        <v>83</v>
      </c>
      <c r="I22" s="101">
        <v>44719</v>
      </c>
    </row>
    <row r="23" spans="1:9" x14ac:dyDescent="0.3">
      <c r="A23" s="102"/>
      <c r="B23" s="103"/>
      <c r="D23" s="100" t="s">
        <v>165</v>
      </c>
      <c r="E23" s="100" t="s">
        <v>166</v>
      </c>
      <c r="F23" s="100" t="s">
        <v>200</v>
      </c>
      <c r="G23" s="100" t="s">
        <v>168</v>
      </c>
      <c r="H23" s="100" t="s">
        <v>83</v>
      </c>
      <c r="I23" s="101">
        <v>1455550</v>
      </c>
    </row>
    <row r="24" spans="1:9" x14ac:dyDescent="0.3">
      <c r="A24" s="102"/>
      <c r="B24" s="103"/>
      <c r="D24" s="100" t="s">
        <v>165</v>
      </c>
      <c r="E24" s="100" t="s">
        <v>166</v>
      </c>
      <c r="F24" s="100" t="s">
        <v>34</v>
      </c>
      <c r="G24" s="100" t="s">
        <v>168</v>
      </c>
      <c r="H24" s="100" t="s">
        <v>83</v>
      </c>
      <c r="I24" s="101">
        <v>592733</v>
      </c>
    </row>
    <row r="25" spans="1:9" x14ac:dyDescent="0.3">
      <c r="A25" s="102"/>
      <c r="B25" s="103"/>
      <c r="D25" s="100" t="s">
        <v>165</v>
      </c>
      <c r="E25" s="100" t="s">
        <v>166</v>
      </c>
      <c r="F25" s="100" t="s">
        <v>201</v>
      </c>
      <c r="G25" s="100" t="s">
        <v>168</v>
      </c>
      <c r="H25" s="100" t="s">
        <v>83</v>
      </c>
      <c r="I25" s="101">
        <v>416890</v>
      </c>
    </row>
    <row r="26" spans="1:9" x14ac:dyDescent="0.3">
      <c r="A26" s="102"/>
      <c r="B26" s="103"/>
      <c r="D26" s="100" t="s">
        <v>165</v>
      </c>
      <c r="E26" s="100" t="s">
        <v>166</v>
      </c>
      <c r="F26" s="100" t="s">
        <v>202</v>
      </c>
      <c r="G26" s="100" t="s">
        <v>168</v>
      </c>
      <c r="H26" s="100" t="s">
        <v>83</v>
      </c>
      <c r="I26" s="101">
        <v>197972</v>
      </c>
    </row>
    <row r="27" spans="1:9" x14ac:dyDescent="0.3">
      <c r="A27" s="102"/>
      <c r="B27" s="103"/>
      <c r="D27" s="100" t="s">
        <v>165</v>
      </c>
      <c r="E27" s="100" t="s">
        <v>166</v>
      </c>
      <c r="F27" s="100" t="s">
        <v>203</v>
      </c>
      <c r="G27" s="100" t="s">
        <v>168</v>
      </c>
      <c r="H27" s="100" t="s">
        <v>83</v>
      </c>
      <c r="I27" s="101">
        <v>133051</v>
      </c>
    </row>
    <row r="28" spans="1:9" x14ac:dyDescent="0.3">
      <c r="A28" s="102"/>
      <c r="B28" s="103"/>
      <c r="D28" s="100" t="s">
        <v>165</v>
      </c>
      <c r="E28" s="100" t="s">
        <v>166</v>
      </c>
      <c r="F28" s="100" t="s">
        <v>204</v>
      </c>
      <c r="G28" s="100" t="s">
        <v>168</v>
      </c>
      <c r="H28" s="100" t="s">
        <v>83</v>
      </c>
      <c r="I28" s="101">
        <v>537810</v>
      </c>
    </row>
    <row r="29" spans="1:9" x14ac:dyDescent="0.3">
      <c r="A29" s="102"/>
      <c r="B29" s="103"/>
      <c r="D29" s="100" t="s">
        <v>165</v>
      </c>
      <c r="E29" s="100" t="s">
        <v>166</v>
      </c>
      <c r="F29" s="100" t="s">
        <v>205</v>
      </c>
      <c r="G29" s="100" t="s">
        <v>168</v>
      </c>
      <c r="H29" s="100" t="s">
        <v>83</v>
      </c>
      <c r="I29" s="101">
        <v>44233</v>
      </c>
    </row>
    <row r="30" spans="1:9" x14ac:dyDescent="0.3">
      <c r="A30" s="102"/>
      <c r="B30" s="103"/>
      <c r="D30" s="100" t="s">
        <v>165</v>
      </c>
      <c r="E30" s="100" t="s">
        <v>166</v>
      </c>
      <c r="F30" s="100" t="s">
        <v>206</v>
      </c>
      <c r="G30" s="100" t="s">
        <v>168</v>
      </c>
      <c r="H30" s="100" t="s">
        <v>83</v>
      </c>
      <c r="I30" s="101">
        <v>64082</v>
      </c>
    </row>
    <row r="31" spans="1:9" x14ac:dyDescent="0.3">
      <c r="A31" s="102"/>
      <c r="B31" s="103"/>
      <c r="D31" s="100" t="s">
        <v>165</v>
      </c>
      <c r="E31" s="100" t="s">
        <v>166</v>
      </c>
      <c r="F31" s="100" t="s">
        <v>207</v>
      </c>
      <c r="G31" s="100" t="s">
        <v>168</v>
      </c>
      <c r="H31" s="100" t="s">
        <v>83</v>
      </c>
      <c r="I31" s="101">
        <v>325210</v>
      </c>
    </row>
    <row r="32" spans="1:9" x14ac:dyDescent="0.3">
      <c r="A32" s="102"/>
      <c r="B32" s="103"/>
      <c r="D32" s="100" t="s">
        <v>208</v>
      </c>
      <c r="E32" s="100" t="s">
        <v>166</v>
      </c>
      <c r="F32" s="100" t="s">
        <v>209</v>
      </c>
      <c r="G32" s="100" t="s">
        <v>168</v>
      </c>
      <c r="H32" s="100" t="s">
        <v>83</v>
      </c>
      <c r="I32" s="101">
        <v>112212</v>
      </c>
    </row>
    <row r="33" spans="1:9" x14ac:dyDescent="0.3">
      <c r="A33" s="102"/>
      <c r="B33" s="103"/>
      <c r="D33" s="100" t="s">
        <v>165</v>
      </c>
      <c r="E33" s="100" t="s">
        <v>166</v>
      </c>
      <c r="F33" s="100" t="s">
        <v>167</v>
      </c>
      <c r="G33" s="100" t="s">
        <v>210</v>
      </c>
      <c r="H33" s="100" t="s">
        <v>83</v>
      </c>
      <c r="I33" s="101">
        <v>60469</v>
      </c>
    </row>
    <row r="34" spans="1:9" x14ac:dyDescent="0.3">
      <c r="A34" s="102"/>
      <c r="B34" s="103"/>
      <c r="D34" s="100" t="s">
        <v>165</v>
      </c>
      <c r="E34" s="100" t="s">
        <v>166</v>
      </c>
      <c r="F34" s="100" t="s">
        <v>171</v>
      </c>
      <c r="G34" s="100" t="s">
        <v>210</v>
      </c>
      <c r="H34" s="100" t="s">
        <v>83</v>
      </c>
      <c r="I34" s="101">
        <v>92773</v>
      </c>
    </row>
    <row r="35" spans="1:9" x14ac:dyDescent="0.3">
      <c r="A35" s="102"/>
      <c r="B35" s="103"/>
      <c r="D35" s="100" t="s">
        <v>165</v>
      </c>
      <c r="E35" s="100" t="s">
        <v>166</v>
      </c>
      <c r="F35" s="100" t="s">
        <v>175</v>
      </c>
      <c r="G35" s="100" t="s">
        <v>210</v>
      </c>
      <c r="H35" s="100" t="s">
        <v>83</v>
      </c>
      <c r="I35" s="101">
        <v>20395</v>
      </c>
    </row>
    <row r="36" spans="1:9" x14ac:dyDescent="0.3">
      <c r="A36" s="102"/>
      <c r="B36" s="103"/>
      <c r="D36" s="100" t="s">
        <v>165</v>
      </c>
      <c r="E36" s="100" t="s">
        <v>166</v>
      </c>
      <c r="F36" s="100" t="s">
        <v>178</v>
      </c>
      <c r="G36" s="100" t="s">
        <v>210</v>
      </c>
      <c r="H36" s="100" t="s">
        <v>83</v>
      </c>
      <c r="I36" s="101">
        <v>1406444</v>
      </c>
    </row>
    <row r="37" spans="1:9" x14ac:dyDescent="0.3">
      <c r="A37" s="102"/>
      <c r="B37" s="103"/>
      <c r="D37" s="100" t="s">
        <v>165</v>
      </c>
      <c r="E37" s="100" t="s">
        <v>166</v>
      </c>
      <c r="F37" s="100" t="s">
        <v>181</v>
      </c>
      <c r="G37" s="100" t="s">
        <v>210</v>
      </c>
      <c r="H37" s="100" t="s">
        <v>83</v>
      </c>
      <c r="I37" s="101">
        <v>6964</v>
      </c>
    </row>
    <row r="38" spans="1:9" x14ac:dyDescent="0.3">
      <c r="A38" s="102"/>
      <c r="B38" s="103"/>
      <c r="D38" s="100" t="s">
        <v>165</v>
      </c>
      <c r="E38" s="100" t="s">
        <v>166</v>
      </c>
      <c r="F38" s="100" t="s">
        <v>182</v>
      </c>
      <c r="G38" s="100" t="s">
        <v>210</v>
      </c>
      <c r="H38" s="100" t="s">
        <v>83</v>
      </c>
      <c r="I38" s="101">
        <v>70120</v>
      </c>
    </row>
    <row r="39" spans="1:9" x14ac:dyDescent="0.3">
      <c r="A39" s="102"/>
      <c r="B39" s="103"/>
      <c r="D39" s="100" t="s">
        <v>165</v>
      </c>
      <c r="E39" s="100" t="s">
        <v>166</v>
      </c>
      <c r="F39" s="100" t="s">
        <v>184</v>
      </c>
      <c r="G39" s="100" t="s">
        <v>210</v>
      </c>
      <c r="H39" s="100" t="s">
        <v>83</v>
      </c>
      <c r="I39" s="101">
        <v>407956</v>
      </c>
    </row>
    <row r="40" spans="1:9" x14ac:dyDescent="0.3">
      <c r="A40" s="102"/>
      <c r="B40" s="103"/>
      <c r="D40" s="100" t="s">
        <v>165</v>
      </c>
      <c r="E40" s="100" t="s">
        <v>166</v>
      </c>
      <c r="F40" s="100" t="s">
        <v>186</v>
      </c>
      <c r="G40" s="100" t="s">
        <v>210</v>
      </c>
      <c r="H40" s="100" t="s">
        <v>83</v>
      </c>
      <c r="I40" s="101">
        <v>81781</v>
      </c>
    </row>
    <row r="41" spans="1:9" x14ac:dyDescent="0.3">
      <c r="A41" s="102"/>
      <c r="B41" s="103"/>
      <c r="D41" s="100" t="s">
        <v>165</v>
      </c>
      <c r="E41" s="100" t="s">
        <v>166</v>
      </c>
      <c r="F41" s="100" t="s">
        <v>187</v>
      </c>
      <c r="G41" s="100" t="s">
        <v>210</v>
      </c>
      <c r="H41" s="100" t="s">
        <v>83</v>
      </c>
      <c r="I41" s="101">
        <v>13183</v>
      </c>
    </row>
    <row r="42" spans="1:9" x14ac:dyDescent="0.3">
      <c r="A42" s="102"/>
      <c r="B42" s="103"/>
      <c r="D42" s="100" t="s">
        <v>165</v>
      </c>
      <c r="E42" s="100" t="s">
        <v>166</v>
      </c>
      <c r="F42" s="100" t="s">
        <v>188</v>
      </c>
      <c r="G42" s="100" t="s">
        <v>210</v>
      </c>
      <c r="H42" s="100" t="s">
        <v>83</v>
      </c>
      <c r="I42" s="101">
        <v>135799</v>
      </c>
    </row>
    <row r="43" spans="1:9" x14ac:dyDescent="0.3">
      <c r="A43" s="102"/>
      <c r="B43" s="103"/>
      <c r="D43" s="100" t="s">
        <v>165</v>
      </c>
      <c r="E43" s="100" t="s">
        <v>166</v>
      </c>
      <c r="F43" s="100" t="s">
        <v>189</v>
      </c>
      <c r="G43" s="100" t="s">
        <v>210</v>
      </c>
      <c r="H43" s="100" t="s">
        <v>83</v>
      </c>
      <c r="I43" s="101">
        <v>38730</v>
      </c>
    </row>
    <row r="44" spans="1:9" x14ac:dyDescent="0.3">
      <c r="A44" s="102"/>
      <c r="B44" s="103"/>
      <c r="D44" s="100" t="s">
        <v>165</v>
      </c>
      <c r="E44" s="100" t="s">
        <v>166</v>
      </c>
      <c r="F44" s="100" t="s">
        <v>190</v>
      </c>
      <c r="G44" s="100" t="s">
        <v>210</v>
      </c>
      <c r="H44" s="100" t="s">
        <v>83</v>
      </c>
      <c r="I44" s="101">
        <v>242712</v>
      </c>
    </row>
    <row r="45" spans="1:9" x14ac:dyDescent="0.3">
      <c r="A45" s="102"/>
      <c r="B45" s="103"/>
      <c r="D45" s="100" t="s">
        <v>165</v>
      </c>
      <c r="E45" s="100" t="s">
        <v>166</v>
      </c>
      <c r="F45" s="100" t="s">
        <v>191</v>
      </c>
      <c r="G45" s="100" t="s">
        <v>210</v>
      </c>
      <c r="H45" s="100" t="s">
        <v>83</v>
      </c>
      <c r="I45" s="101">
        <v>1261939</v>
      </c>
    </row>
    <row r="46" spans="1:9" x14ac:dyDescent="0.3">
      <c r="A46" s="102"/>
      <c r="B46" s="103"/>
      <c r="D46" s="100" t="s">
        <v>165</v>
      </c>
      <c r="E46" s="100" t="s">
        <v>166</v>
      </c>
      <c r="F46" s="100" t="s">
        <v>192</v>
      </c>
      <c r="G46" s="100" t="s">
        <v>210</v>
      </c>
      <c r="H46" s="100" t="s">
        <v>83</v>
      </c>
      <c r="I46" s="101">
        <v>35842</v>
      </c>
    </row>
    <row r="47" spans="1:9" x14ac:dyDescent="0.3">
      <c r="A47" s="102"/>
      <c r="B47" s="103"/>
      <c r="D47" s="100" t="s">
        <v>165</v>
      </c>
      <c r="E47" s="100" t="s">
        <v>166</v>
      </c>
      <c r="F47" s="100" t="s">
        <v>193</v>
      </c>
      <c r="G47" s="100" t="s">
        <v>210</v>
      </c>
      <c r="H47" s="100" t="s">
        <v>83</v>
      </c>
      <c r="I47" s="101">
        <v>51032</v>
      </c>
    </row>
    <row r="48" spans="1:9" x14ac:dyDescent="0.3">
      <c r="A48" s="102"/>
      <c r="B48" s="103"/>
      <c r="D48" s="100" t="s">
        <v>165</v>
      </c>
      <c r="E48" s="100" t="s">
        <v>166</v>
      </c>
      <c r="F48" s="100" t="s">
        <v>194</v>
      </c>
      <c r="G48" s="100" t="s">
        <v>210</v>
      </c>
      <c r="H48" s="100" t="s">
        <v>83</v>
      </c>
      <c r="I48" s="101">
        <v>191284</v>
      </c>
    </row>
    <row r="49" spans="1:9" x14ac:dyDescent="0.3">
      <c r="A49" s="102"/>
      <c r="B49" s="103"/>
      <c r="D49" s="100" t="s">
        <v>165</v>
      </c>
      <c r="E49" s="100" t="s">
        <v>166</v>
      </c>
      <c r="F49" s="100" t="s">
        <v>195</v>
      </c>
      <c r="G49" s="100" t="s">
        <v>210</v>
      </c>
      <c r="H49" s="100" t="s">
        <v>83</v>
      </c>
      <c r="I49" s="101">
        <v>63758</v>
      </c>
    </row>
    <row r="50" spans="1:9" x14ac:dyDescent="0.3">
      <c r="A50" s="102"/>
      <c r="B50" s="103"/>
      <c r="D50" s="100" t="s">
        <v>165</v>
      </c>
      <c r="E50" s="100" t="s">
        <v>166</v>
      </c>
      <c r="F50" s="100" t="s">
        <v>196</v>
      </c>
      <c r="G50" s="100" t="s">
        <v>210</v>
      </c>
      <c r="H50" s="100" t="s">
        <v>83</v>
      </c>
      <c r="I50" s="101">
        <v>198779</v>
      </c>
    </row>
    <row r="51" spans="1:9" x14ac:dyDescent="0.3">
      <c r="A51" s="102"/>
      <c r="B51" s="103"/>
      <c r="D51" s="100" t="s">
        <v>165</v>
      </c>
      <c r="E51" s="100" t="s">
        <v>166</v>
      </c>
      <c r="F51" s="100" t="s">
        <v>197</v>
      </c>
      <c r="G51" s="100" t="s">
        <v>210</v>
      </c>
      <c r="H51" s="100" t="s">
        <v>83</v>
      </c>
      <c r="I51" s="101">
        <v>14240</v>
      </c>
    </row>
    <row r="52" spans="1:9" x14ac:dyDescent="0.3">
      <c r="A52" s="102"/>
      <c r="B52" s="103"/>
      <c r="D52" s="100" t="s">
        <v>165</v>
      </c>
      <c r="E52" s="100" t="s">
        <v>166</v>
      </c>
      <c r="F52" s="100" t="s">
        <v>198</v>
      </c>
      <c r="G52" s="100" t="s">
        <v>210</v>
      </c>
      <c r="H52" s="100" t="s">
        <v>83</v>
      </c>
      <c r="I52" s="101">
        <v>9466</v>
      </c>
    </row>
    <row r="53" spans="1:9" x14ac:dyDescent="0.3">
      <c r="A53" s="102"/>
      <c r="B53" s="103"/>
      <c r="D53" s="100" t="s">
        <v>165</v>
      </c>
      <c r="E53" s="100" t="s">
        <v>166</v>
      </c>
      <c r="F53" s="100" t="s">
        <v>199</v>
      </c>
      <c r="G53" s="100" t="s">
        <v>210</v>
      </c>
      <c r="H53" s="100" t="s">
        <v>83</v>
      </c>
      <c r="I53" s="101">
        <v>10034</v>
      </c>
    </row>
    <row r="54" spans="1:9" x14ac:dyDescent="0.3">
      <c r="A54" s="102"/>
      <c r="B54" s="103"/>
      <c r="D54" s="100" t="s">
        <v>165</v>
      </c>
      <c r="E54" s="100" t="s">
        <v>166</v>
      </c>
      <c r="F54" s="100" t="s">
        <v>200</v>
      </c>
      <c r="G54" s="100" t="s">
        <v>210</v>
      </c>
      <c r="H54" s="100" t="s">
        <v>83</v>
      </c>
      <c r="I54" s="101">
        <v>207682</v>
      </c>
    </row>
    <row r="55" spans="1:9" x14ac:dyDescent="0.3">
      <c r="A55" s="102"/>
      <c r="B55" s="103"/>
      <c r="D55" s="100" t="s">
        <v>165</v>
      </c>
      <c r="E55" s="100" t="s">
        <v>166</v>
      </c>
      <c r="F55" s="100" t="s">
        <v>34</v>
      </c>
      <c r="G55" s="100" t="s">
        <v>210</v>
      </c>
      <c r="H55" s="100" t="s">
        <v>83</v>
      </c>
      <c r="I55" s="101">
        <v>803204</v>
      </c>
    </row>
    <row r="56" spans="1:9" x14ac:dyDescent="0.3">
      <c r="A56" s="102"/>
      <c r="B56" s="103"/>
      <c r="D56" s="100" t="s">
        <v>165</v>
      </c>
      <c r="E56" s="100" t="s">
        <v>166</v>
      </c>
      <c r="F56" s="100" t="s">
        <v>201</v>
      </c>
      <c r="G56" s="100" t="s">
        <v>210</v>
      </c>
      <c r="H56" s="100" t="s">
        <v>83</v>
      </c>
      <c r="I56" s="101">
        <v>89383</v>
      </c>
    </row>
    <row r="57" spans="1:9" x14ac:dyDescent="0.3">
      <c r="A57" s="102"/>
      <c r="B57" s="103"/>
      <c r="D57" s="100" t="s">
        <v>165</v>
      </c>
      <c r="E57" s="100" t="s">
        <v>166</v>
      </c>
      <c r="F57" s="100" t="s">
        <v>202</v>
      </c>
      <c r="G57" s="100" t="s">
        <v>210</v>
      </c>
      <c r="H57" s="100" t="s">
        <v>83</v>
      </c>
      <c r="I57" s="101">
        <v>43732</v>
      </c>
    </row>
    <row r="58" spans="1:9" x14ac:dyDescent="0.3">
      <c r="A58" s="102"/>
      <c r="B58" s="103"/>
      <c r="D58" s="100" t="s">
        <v>165</v>
      </c>
      <c r="E58" s="100" t="s">
        <v>166</v>
      </c>
      <c r="F58" s="100" t="s">
        <v>203</v>
      </c>
      <c r="G58" s="100" t="s">
        <v>210</v>
      </c>
      <c r="H58" s="100" t="s">
        <v>83</v>
      </c>
      <c r="I58" s="101">
        <v>44550</v>
      </c>
    </row>
    <row r="59" spans="1:9" x14ac:dyDescent="0.3">
      <c r="A59" s="102"/>
      <c r="B59" s="103"/>
      <c r="D59" s="100" t="s">
        <v>165</v>
      </c>
      <c r="E59" s="100" t="s">
        <v>166</v>
      </c>
      <c r="F59" s="100" t="s">
        <v>204</v>
      </c>
      <c r="G59" s="100" t="s">
        <v>210</v>
      </c>
      <c r="H59" s="100" t="s">
        <v>83</v>
      </c>
      <c r="I59" s="101">
        <v>113559</v>
      </c>
    </row>
    <row r="60" spans="1:9" x14ac:dyDescent="0.3">
      <c r="A60" s="102"/>
      <c r="B60" s="103"/>
      <c r="D60" s="100" t="s">
        <v>165</v>
      </c>
      <c r="E60" s="100" t="s">
        <v>166</v>
      </c>
      <c r="F60" s="100" t="s">
        <v>205</v>
      </c>
      <c r="G60" s="100" t="s">
        <v>210</v>
      </c>
      <c r="H60" s="100" t="s">
        <v>83</v>
      </c>
      <c r="I60" s="101">
        <v>9161</v>
      </c>
    </row>
    <row r="61" spans="1:9" x14ac:dyDescent="0.3">
      <c r="A61" s="102"/>
      <c r="B61" s="103"/>
      <c r="D61" s="100" t="s">
        <v>165</v>
      </c>
      <c r="E61" s="100" t="s">
        <v>166</v>
      </c>
      <c r="F61" s="100" t="s">
        <v>206</v>
      </c>
      <c r="G61" s="100" t="s">
        <v>210</v>
      </c>
      <c r="H61" s="100" t="s">
        <v>83</v>
      </c>
      <c r="I61" s="101">
        <v>19691</v>
      </c>
    </row>
    <row r="62" spans="1:9" x14ac:dyDescent="0.3">
      <c r="A62" s="102"/>
      <c r="B62" s="103"/>
      <c r="D62" s="100" t="s">
        <v>165</v>
      </c>
      <c r="E62" s="100" t="s">
        <v>166</v>
      </c>
      <c r="F62" s="100" t="s">
        <v>207</v>
      </c>
      <c r="G62" s="100" t="s">
        <v>210</v>
      </c>
      <c r="H62" s="100" t="s">
        <v>83</v>
      </c>
      <c r="I62" s="101">
        <v>157361</v>
      </c>
    </row>
    <row r="63" spans="1:9" x14ac:dyDescent="0.3">
      <c r="A63" s="102"/>
      <c r="B63" s="103"/>
      <c r="D63" s="100" t="s">
        <v>208</v>
      </c>
      <c r="E63" s="100" t="s">
        <v>166</v>
      </c>
      <c r="F63" s="100" t="s">
        <v>209</v>
      </c>
      <c r="G63" s="100" t="s">
        <v>210</v>
      </c>
      <c r="H63" s="100" t="s">
        <v>83</v>
      </c>
      <c r="I63" s="101">
        <v>38343</v>
      </c>
    </row>
    <row r="64" spans="1:9" x14ac:dyDescent="0.3">
      <c r="A64" s="102"/>
      <c r="B64" s="103"/>
      <c r="D64" s="100" t="s">
        <v>165</v>
      </c>
      <c r="E64" s="100" t="s">
        <v>166</v>
      </c>
      <c r="F64" s="100" t="s">
        <v>167</v>
      </c>
      <c r="G64" s="100" t="s">
        <v>168</v>
      </c>
      <c r="H64" s="100" t="s">
        <v>172</v>
      </c>
      <c r="I64" s="101">
        <v>362536</v>
      </c>
    </row>
    <row r="65" spans="1:9" x14ac:dyDescent="0.3">
      <c r="A65" s="102"/>
      <c r="B65" s="103"/>
      <c r="D65" s="100" t="s">
        <v>165</v>
      </c>
      <c r="E65" s="100" t="s">
        <v>166</v>
      </c>
      <c r="F65" s="100" t="s">
        <v>171</v>
      </c>
      <c r="G65" s="100" t="s">
        <v>168</v>
      </c>
      <c r="H65" s="100" t="s">
        <v>172</v>
      </c>
      <c r="I65" s="101">
        <v>524282</v>
      </c>
    </row>
    <row r="66" spans="1:9" x14ac:dyDescent="0.3">
      <c r="A66" s="102"/>
      <c r="B66" s="103"/>
      <c r="D66" s="100" t="s">
        <v>165</v>
      </c>
      <c r="E66" s="100" t="s">
        <v>166</v>
      </c>
      <c r="F66" s="100" t="s">
        <v>175</v>
      </c>
      <c r="G66" s="100" t="s">
        <v>168</v>
      </c>
      <c r="H66" s="100" t="s">
        <v>172</v>
      </c>
      <c r="I66" s="101">
        <v>31601</v>
      </c>
    </row>
    <row r="67" spans="1:9" x14ac:dyDescent="0.3">
      <c r="A67" s="102"/>
      <c r="B67" s="103"/>
      <c r="D67" s="100" t="s">
        <v>165</v>
      </c>
      <c r="E67" s="100" t="s">
        <v>166</v>
      </c>
      <c r="F67" s="100" t="s">
        <v>178</v>
      </c>
      <c r="G67" s="100" t="s">
        <v>168</v>
      </c>
      <c r="H67" s="100" t="s">
        <v>172</v>
      </c>
      <c r="I67" s="101">
        <v>760927</v>
      </c>
    </row>
    <row r="68" spans="1:9" x14ac:dyDescent="0.3">
      <c r="A68" s="102"/>
      <c r="B68" s="103"/>
      <c r="D68" s="100" t="s">
        <v>165</v>
      </c>
      <c r="E68" s="100" t="s">
        <v>166</v>
      </c>
      <c r="F68" s="100" t="s">
        <v>181</v>
      </c>
      <c r="G68" s="100" t="s">
        <v>168</v>
      </c>
      <c r="H68" s="100" t="s">
        <v>172</v>
      </c>
      <c r="I68" s="101">
        <v>22126</v>
      </c>
    </row>
    <row r="69" spans="1:9" x14ac:dyDescent="0.3">
      <c r="A69" s="102"/>
      <c r="B69" s="103"/>
      <c r="D69" s="100" t="s">
        <v>165</v>
      </c>
      <c r="E69" s="100" t="s">
        <v>166</v>
      </c>
      <c r="F69" s="100" t="s">
        <v>182</v>
      </c>
      <c r="G69" s="100" t="s">
        <v>168</v>
      </c>
      <c r="H69" s="100" t="s">
        <v>172</v>
      </c>
      <c r="I69" s="101">
        <v>290598</v>
      </c>
    </row>
    <row r="70" spans="1:9" x14ac:dyDescent="0.3">
      <c r="A70" s="102"/>
      <c r="B70" s="103"/>
      <c r="D70" s="100" t="s">
        <v>165</v>
      </c>
      <c r="E70" s="100" t="s">
        <v>166</v>
      </c>
      <c r="F70" s="100" t="s">
        <v>184</v>
      </c>
      <c r="G70" s="100" t="s">
        <v>168</v>
      </c>
      <c r="H70" s="100" t="s">
        <v>172</v>
      </c>
      <c r="I70" s="101">
        <v>4679659</v>
      </c>
    </row>
    <row r="71" spans="1:9" x14ac:dyDescent="0.3">
      <c r="A71" s="102"/>
      <c r="B71" s="103"/>
      <c r="D71" s="100" t="s">
        <v>165</v>
      </c>
      <c r="E71" s="100" t="s">
        <v>166</v>
      </c>
      <c r="F71" s="100" t="s">
        <v>186</v>
      </c>
      <c r="G71" s="100" t="s">
        <v>168</v>
      </c>
      <c r="H71" s="100" t="s">
        <v>172</v>
      </c>
      <c r="I71" s="101">
        <v>520214</v>
      </c>
    </row>
    <row r="72" spans="1:9" x14ac:dyDescent="0.3">
      <c r="A72" s="102"/>
      <c r="B72" s="103"/>
      <c r="D72" s="100" t="s">
        <v>165</v>
      </c>
      <c r="E72" s="100" t="s">
        <v>166</v>
      </c>
      <c r="F72" s="100" t="s">
        <v>187</v>
      </c>
      <c r="G72" s="100" t="s">
        <v>168</v>
      </c>
      <c r="H72" s="100" t="s">
        <v>172</v>
      </c>
      <c r="I72" s="101">
        <v>111963</v>
      </c>
    </row>
    <row r="73" spans="1:9" x14ac:dyDescent="0.3">
      <c r="A73" s="102"/>
      <c r="B73" s="103"/>
      <c r="D73" s="100" t="s">
        <v>165</v>
      </c>
      <c r="E73" s="100" t="s">
        <v>166</v>
      </c>
      <c r="F73" s="100" t="s">
        <v>188</v>
      </c>
      <c r="G73" s="100" t="s">
        <v>168</v>
      </c>
      <c r="H73" s="100" t="s">
        <v>172</v>
      </c>
      <c r="I73" s="101">
        <v>1299437</v>
      </c>
    </row>
    <row r="74" spans="1:9" x14ac:dyDescent="0.3">
      <c r="A74" s="102"/>
      <c r="B74" s="103"/>
      <c r="D74" s="100" t="s">
        <v>165</v>
      </c>
      <c r="E74" s="100" t="s">
        <v>166</v>
      </c>
      <c r="F74" s="100" t="s">
        <v>189</v>
      </c>
      <c r="G74" s="100" t="s">
        <v>168</v>
      </c>
      <c r="H74" s="100" t="s">
        <v>172</v>
      </c>
      <c r="I74" s="101">
        <v>126141</v>
      </c>
    </row>
    <row r="75" spans="1:9" x14ac:dyDescent="0.3">
      <c r="A75" s="102"/>
      <c r="B75" s="103"/>
      <c r="D75" s="100" t="s">
        <v>165</v>
      </c>
      <c r="E75" s="100" t="s">
        <v>166</v>
      </c>
      <c r="F75" s="100" t="s">
        <v>190</v>
      </c>
      <c r="G75" s="100" t="s">
        <v>168</v>
      </c>
      <c r="H75" s="100" t="s">
        <v>172</v>
      </c>
      <c r="I75" s="101">
        <v>2734178</v>
      </c>
    </row>
    <row r="76" spans="1:9" x14ac:dyDescent="0.3">
      <c r="A76" s="102"/>
      <c r="B76" s="103"/>
      <c r="D76" s="100" t="s">
        <v>165</v>
      </c>
      <c r="E76" s="100" t="s">
        <v>166</v>
      </c>
      <c r="F76" s="100" t="s">
        <v>191</v>
      </c>
      <c r="G76" s="100" t="s">
        <v>168</v>
      </c>
      <c r="H76" s="100" t="s">
        <v>172</v>
      </c>
      <c r="I76" s="101">
        <v>8859228</v>
      </c>
    </row>
    <row r="77" spans="1:9" x14ac:dyDescent="0.3">
      <c r="A77" s="102"/>
      <c r="B77" s="103"/>
      <c r="D77" s="100" t="s">
        <v>165</v>
      </c>
      <c r="E77" s="100" t="s">
        <v>166</v>
      </c>
      <c r="F77" s="100" t="s">
        <v>192</v>
      </c>
      <c r="G77" s="100" t="s">
        <v>168</v>
      </c>
      <c r="H77" s="100" t="s">
        <v>172</v>
      </c>
      <c r="I77" s="101">
        <v>114215</v>
      </c>
    </row>
    <row r="78" spans="1:9" x14ac:dyDescent="0.3">
      <c r="A78" s="102"/>
      <c r="B78" s="103"/>
      <c r="D78" s="100" t="s">
        <v>165</v>
      </c>
      <c r="E78" s="100" t="s">
        <v>166</v>
      </c>
      <c r="F78" s="100" t="s">
        <v>193</v>
      </c>
      <c r="G78" s="100" t="s">
        <v>168</v>
      </c>
      <c r="H78" s="100" t="s">
        <v>172</v>
      </c>
      <c r="I78" s="101">
        <v>215621</v>
      </c>
    </row>
    <row r="79" spans="1:9" x14ac:dyDescent="0.3">
      <c r="A79" s="102"/>
      <c r="B79" s="103"/>
      <c r="D79" s="100" t="s">
        <v>165</v>
      </c>
      <c r="E79" s="100" t="s">
        <v>166</v>
      </c>
      <c r="F79" s="100" t="s">
        <v>194</v>
      </c>
      <c r="G79" s="100" t="s">
        <v>168</v>
      </c>
      <c r="H79" s="100" t="s">
        <v>172</v>
      </c>
      <c r="I79" s="101">
        <v>421215</v>
      </c>
    </row>
    <row r="80" spans="1:9" x14ac:dyDescent="0.3">
      <c r="A80" s="102"/>
      <c r="B80" s="103"/>
      <c r="D80" s="100" t="s">
        <v>165</v>
      </c>
      <c r="E80" s="100" t="s">
        <v>166</v>
      </c>
      <c r="F80" s="100" t="s">
        <v>195</v>
      </c>
      <c r="G80" s="100" t="s">
        <v>168</v>
      </c>
      <c r="H80" s="100" t="s">
        <v>172</v>
      </c>
      <c r="I80" s="101">
        <v>741061</v>
      </c>
    </row>
    <row r="81" spans="1:9" x14ac:dyDescent="0.3">
      <c r="A81" s="102"/>
      <c r="B81" s="103"/>
      <c r="D81" s="100" t="s">
        <v>165</v>
      </c>
      <c r="E81" s="100" t="s">
        <v>166</v>
      </c>
      <c r="F81" s="100" t="s">
        <v>196</v>
      </c>
      <c r="G81" s="100" t="s">
        <v>168</v>
      </c>
      <c r="H81" s="100" t="s">
        <v>172</v>
      </c>
      <c r="I81" s="101">
        <v>3925473</v>
      </c>
    </row>
    <row r="82" spans="1:9" x14ac:dyDescent="0.3">
      <c r="A82" s="102"/>
      <c r="B82" s="103"/>
      <c r="D82" s="100" t="s">
        <v>165</v>
      </c>
      <c r="E82" s="100" t="s">
        <v>166</v>
      </c>
      <c r="F82" s="100" t="s">
        <v>197</v>
      </c>
      <c r="G82" s="100" t="s">
        <v>168</v>
      </c>
      <c r="H82" s="100" t="s">
        <v>172</v>
      </c>
      <c r="I82" s="101">
        <v>298971</v>
      </c>
    </row>
    <row r="83" spans="1:9" x14ac:dyDescent="0.3">
      <c r="A83" s="102"/>
      <c r="B83" s="103"/>
      <c r="D83" s="100" t="s">
        <v>165</v>
      </c>
      <c r="E83" s="100" t="s">
        <v>166</v>
      </c>
      <c r="F83" s="100" t="s">
        <v>198</v>
      </c>
      <c r="G83" s="100" t="s">
        <v>168</v>
      </c>
      <c r="H83" s="100" t="s">
        <v>172</v>
      </c>
      <c r="I83" s="101">
        <v>11491</v>
      </c>
    </row>
    <row r="84" spans="1:9" x14ac:dyDescent="0.3">
      <c r="A84" s="102"/>
      <c r="B84" s="103"/>
      <c r="D84" s="100" t="s">
        <v>165</v>
      </c>
      <c r="E84" s="100" t="s">
        <v>166</v>
      </c>
      <c r="F84" s="100" t="s">
        <v>199</v>
      </c>
      <c r="G84" s="100" t="s">
        <v>168</v>
      </c>
      <c r="H84" s="100" t="s">
        <v>172</v>
      </c>
      <c r="I84" s="101">
        <v>268402</v>
      </c>
    </row>
    <row r="85" spans="1:9" x14ac:dyDescent="0.3">
      <c r="A85" s="102"/>
      <c r="B85" s="103"/>
      <c r="D85" s="100" t="s">
        <v>165</v>
      </c>
      <c r="E85" s="100" t="s">
        <v>166</v>
      </c>
      <c r="F85" s="100" t="s">
        <v>200</v>
      </c>
      <c r="G85" s="100" t="s">
        <v>168</v>
      </c>
      <c r="H85" s="100" t="s">
        <v>172</v>
      </c>
      <c r="I85" s="101">
        <v>4685174</v>
      </c>
    </row>
    <row r="86" spans="1:9" x14ac:dyDescent="0.3">
      <c r="A86" s="102"/>
      <c r="B86" s="103"/>
      <c r="D86" s="100" t="s">
        <v>165</v>
      </c>
      <c r="E86" s="100" t="s">
        <v>166</v>
      </c>
      <c r="F86" s="100" t="s">
        <v>34</v>
      </c>
      <c r="G86" s="100" t="s">
        <v>168</v>
      </c>
      <c r="H86" s="100" t="s">
        <v>172</v>
      </c>
      <c r="I86" s="101">
        <v>47794</v>
      </c>
    </row>
    <row r="87" spans="1:9" x14ac:dyDescent="0.3">
      <c r="A87" s="102"/>
      <c r="B87" s="103"/>
      <c r="D87" s="100" t="s">
        <v>165</v>
      </c>
      <c r="E87" s="100" t="s">
        <v>166</v>
      </c>
      <c r="F87" s="100" t="s">
        <v>201</v>
      </c>
      <c r="G87" s="100" t="s">
        <v>168</v>
      </c>
      <c r="H87" s="100" t="s">
        <v>172</v>
      </c>
      <c r="I87" s="101">
        <v>1458972</v>
      </c>
    </row>
    <row r="88" spans="1:9" x14ac:dyDescent="0.3">
      <c r="A88" s="102"/>
      <c r="B88" s="103"/>
      <c r="D88" s="100" t="s">
        <v>165</v>
      </c>
      <c r="E88" s="100" t="s">
        <v>166</v>
      </c>
      <c r="F88" s="100" t="s">
        <v>202</v>
      </c>
      <c r="G88" s="100" t="s">
        <v>168</v>
      </c>
      <c r="H88" s="100" t="s">
        <v>172</v>
      </c>
      <c r="I88" s="101">
        <v>267275</v>
      </c>
    </row>
    <row r="89" spans="1:9" x14ac:dyDescent="0.3">
      <c r="A89" s="102"/>
      <c r="B89" s="103"/>
      <c r="D89" s="100" t="s">
        <v>165</v>
      </c>
      <c r="E89" s="100" t="s">
        <v>166</v>
      </c>
      <c r="F89" s="100" t="s">
        <v>203</v>
      </c>
      <c r="G89" s="100" t="s">
        <v>168</v>
      </c>
      <c r="H89" s="100" t="s">
        <v>172</v>
      </c>
      <c r="I89" s="101">
        <v>18434</v>
      </c>
    </row>
    <row r="90" spans="1:9" x14ac:dyDescent="0.3">
      <c r="A90" s="102"/>
      <c r="B90" s="103"/>
      <c r="D90" s="100" t="s">
        <v>165</v>
      </c>
      <c r="E90" s="100" t="s">
        <v>166</v>
      </c>
      <c r="F90" s="100" t="s">
        <v>204</v>
      </c>
      <c r="G90" s="100" t="s">
        <v>168</v>
      </c>
      <c r="H90" s="100" t="s">
        <v>172</v>
      </c>
      <c r="I90" s="101">
        <v>631416</v>
      </c>
    </row>
    <row r="91" spans="1:9" x14ac:dyDescent="0.3">
      <c r="A91" s="102"/>
      <c r="B91" s="103"/>
      <c r="D91" s="100" t="s">
        <v>165</v>
      </c>
      <c r="E91" s="100" t="s">
        <v>166</v>
      </c>
      <c r="F91" s="100" t="s">
        <v>205</v>
      </c>
      <c r="G91" s="100" t="s">
        <v>168</v>
      </c>
      <c r="H91" s="100" t="s">
        <v>172</v>
      </c>
      <c r="I91" s="101">
        <v>12021</v>
      </c>
    </row>
    <row r="92" spans="1:9" x14ac:dyDescent="0.3">
      <c r="A92" s="102"/>
      <c r="B92" s="103"/>
      <c r="D92" s="100" t="s">
        <v>165</v>
      </c>
      <c r="E92" s="100" t="s">
        <v>166</v>
      </c>
      <c r="F92" s="100" t="s">
        <v>206</v>
      </c>
      <c r="G92" s="100" t="s">
        <v>168</v>
      </c>
      <c r="H92" s="100" t="s">
        <v>172</v>
      </c>
      <c r="I92" s="101">
        <v>127229</v>
      </c>
    </row>
    <row r="93" spans="1:9" x14ac:dyDescent="0.3">
      <c r="A93" s="102"/>
      <c r="B93" s="103"/>
      <c r="D93" s="100" t="s">
        <v>165</v>
      </c>
      <c r="E93" s="100" t="s">
        <v>166</v>
      </c>
      <c r="F93" s="100" t="s">
        <v>207</v>
      </c>
      <c r="G93" s="100" t="s">
        <v>168</v>
      </c>
      <c r="H93" s="100" t="s">
        <v>172</v>
      </c>
      <c r="I93" s="101">
        <v>4005727</v>
      </c>
    </row>
    <row r="94" spans="1:9" x14ac:dyDescent="0.3">
      <c r="A94" s="102"/>
      <c r="B94" s="103"/>
      <c r="D94" s="100" t="s">
        <v>208</v>
      </c>
      <c r="E94" s="100" t="s">
        <v>166</v>
      </c>
      <c r="F94" s="100" t="s">
        <v>209</v>
      </c>
      <c r="G94" s="100" t="s">
        <v>168</v>
      </c>
      <c r="H94" s="100" t="s">
        <v>172</v>
      </c>
      <c r="I94" s="101">
        <v>231746</v>
      </c>
    </row>
    <row r="95" spans="1:9" x14ac:dyDescent="0.3">
      <c r="A95" s="102"/>
      <c r="B95" s="103"/>
      <c r="D95" s="100" t="s">
        <v>165</v>
      </c>
      <c r="E95" s="100" t="s">
        <v>166</v>
      </c>
      <c r="F95" s="100" t="s">
        <v>167</v>
      </c>
      <c r="G95" s="100" t="s">
        <v>210</v>
      </c>
      <c r="H95" s="100" t="s">
        <v>172</v>
      </c>
      <c r="I95" s="101">
        <v>99996</v>
      </c>
    </row>
    <row r="96" spans="1:9" x14ac:dyDescent="0.3">
      <c r="A96" s="102"/>
      <c r="B96" s="103"/>
      <c r="D96" s="100" t="s">
        <v>165</v>
      </c>
      <c r="E96" s="100" t="s">
        <v>166</v>
      </c>
      <c r="F96" s="100" t="s">
        <v>171</v>
      </c>
      <c r="G96" s="100" t="s">
        <v>210</v>
      </c>
      <c r="H96" s="100" t="s">
        <v>172</v>
      </c>
      <c r="I96" s="101">
        <v>589190</v>
      </c>
    </row>
    <row r="97" spans="1:9" x14ac:dyDescent="0.3">
      <c r="A97" s="102"/>
      <c r="B97" s="103"/>
      <c r="D97" s="100" t="s">
        <v>165</v>
      </c>
      <c r="E97" s="100" t="s">
        <v>166</v>
      </c>
      <c r="F97" s="100" t="s">
        <v>175</v>
      </c>
      <c r="G97" s="100" t="s">
        <v>210</v>
      </c>
      <c r="H97" s="100" t="s">
        <v>172</v>
      </c>
      <c r="I97" s="101">
        <v>25103</v>
      </c>
    </row>
    <row r="98" spans="1:9" x14ac:dyDescent="0.3">
      <c r="A98" s="102"/>
      <c r="B98" s="103"/>
      <c r="D98" s="100" t="s">
        <v>165</v>
      </c>
      <c r="E98" s="100" t="s">
        <v>166</v>
      </c>
      <c r="F98" s="100" t="s">
        <v>178</v>
      </c>
      <c r="G98" s="100" t="s">
        <v>210</v>
      </c>
      <c r="H98" s="100" t="s">
        <v>172</v>
      </c>
      <c r="I98" s="101">
        <v>747017</v>
      </c>
    </row>
    <row r="99" spans="1:9" x14ac:dyDescent="0.3">
      <c r="A99" s="102"/>
      <c r="B99" s="103"/>
      <c r="D99" s="100" t="s">
        <v>165</v>
      </c>
      <c r="E99" s="100" t="s">
        <v>166</v>
      </c>
      <c r="F99" s="100" t="s">
        <v>181</v>
      </c>
      <c r="G99" s="100" t="s">
        <v>210</v>
      </c>
      <c r="H99" s="100" t="s">
        <v>172</v>
      </c>
      <c r="I99" s="101">
        <v>8778</v>
      </c>
    </row>
    <row r="100" spans="1:9" x14ac:dyDescent="0.3">
      <c r="A100" s="102"/>
      <c r="B100" s="103"/>
      <c r="D100" s="100" t="s">
        <v>165</v>
      </c>
      <c r="E100" s="100" t="s">
        <v>166</v>
      </c>
      <c r="F100" s="100" t="s">
        <v>182</v>
      </c>
      <c r="G100" s="100" t="s">
        <v>210</v>
      </c>
      <c r="H100" s="100" t="s">
        <v>172</v>
      </c>
      <c r="I100" s="101">
        <v>170098</v>
      </c>
    </row>
    <row r="101" spans="1:9" x14ac:dyDescent="0.3">
      <c r="A101" s="102"/>
      <c r="B101" s="103"/>
      <c r="D101" s="100" t="s">
        <v>165</v>
      </c>
      <c r="E101" s="100" t="s">
        <v>166</v>
      </c>
      <c r="F101" s="100" t="s">
        <v>184</v>
      </c>
      <c r="G101" s="100" t="s">
        <v>210</v>
      </c>
      <c r="H101" s="100" t="s">
        <v>172</v>
      </c>
      <c r="I101" s="101">
        <v>1307356</v>
      </c>
    </row>
    <row r="102" spans="1:9" x14ac:dyDescent="0.3">
      <c r="A102" s="102"/>
      <c r="B102" s="103"/>
      <c r="D102" s="100" t="s">
        <v>165</v>
      </c>
      <c r="E102" s="100" t="s">
        <v>166</v>
      </c>
      <c r="F102" s="100" t="s">
        <v>186</v>
      </c>
      <c r="G102" s="100" t="s">
        <v>210</v>
      </c>
      <c r="H102" s="100" t="s">
        <v>172</v>
      </c>
      <c r="I102" s="101">
        <v>178844</v>
      </c>
    </row>
    <row r="103" spans="1:9" x14ac:dyDescent="0.3">
      <c r="A103" s="102"/>
      <c r="B103" s="103"/>
      <c r="D103" s="100" t="s">
        <v>165</v>
      </c>
      <c r="E103" s="100" t="s">
        <v>166</v>
      </c>
      <c r="F103" s="100" t="s">
        <v>187</v>
      </c>
      <c r="G103" s="100" t="s">
        <v>210</v>
      </c>
      <c r="H103" s="100" t="s">
        <v>172</v>
      </c>
      <c r="I103" s="101">
        <v>18202</v>
      </c>
    </row>
    <row r="104" spans="1:9" x14ac:dyDescent="0.3">
      <c r="A104" s="102"/>
      <c r="B104" s="103"/>
      <c r="D104" s="100" t="s">
        <v>165</v>
      </c>
      <c r="E104" s="100" t="s">
        <v>166</v>
      </c>
      <c r="F104" s="100" t="s">
        <v>188</v>
      </c>
      <c r="G104" s="100" t="s">
        <v>210</v>
      </c>
      <c r="H104" s="100" t="s">
        <v>172</v>
      </c>
      <c r="I104" s="101">
        <v>243055</v>
      </c>
    </row>
    <row r="105" spans="1:9" x14ac:dyDescent="0.3">
      <c r="A105" s="102"/>
      <c r="B105" s="103"/>
      <c r="D105" s="100" t="s">
        <v>165</v>
      </c>
      <c r="E105" s="100" t="s">
        <v>166</v>
      </c>
      <c r="F105" s="100" t="s">
        <v>189</v>
      </c>
      <c r="G105" s="100" t="s">
        <v>210</v>
      </c>
      <c r="H105" s="100" t="s">
        <v>172</v>
      </c>
      <c r="I105" s="101">
        <v>109284</v>
      </c>
    </row>
    <row r="106" spans="1:9" x14ac:dyDescent="0.3">
      <c r="A106" s="102"/>
      <c r="B106" s="103"/>
      <c r="D106" s="100" t="s">
        <v>165</v>
      </c>
      <c r="E106" s="100" t="s">
        <v>166</v>
      </c>
      <c r="F106" s="100" t="s">
        <v>190</v>
      </c>
      <c r="G106" s="100" t="s">
        <v>210</v>
      </c>
      <c r="H106" s="100" t="s">
        <v>172</v>
      </c>
      <c r="I106" s="101">
        <v>315571</v>
      </c>
    </row>
    <row r="107" spans="1:9" x14ac:dyDescent="0.3">
      <c r="A107" s="102"/>
      <c r="B107" s="103"/>
      <c r="D107" s="100" t="s">
        <v>165</v>
      </c>
      <c r="E107" s="100" t="s">
        <v>166</v>
      </c>
      <c r="F107" s="100" t="s">
        <v>191</v>
      </c>
      <c r="G107" s="100" t="s">
        <v>210</v>
      </c>
      <c r="H107" s="100" t="s">
        <v>172</v>
      </c>
      <c r="I107" s="101">
        <v>1083804</v>
      </c>
    </row>
    <row r="108" spans="1:9" x14ac:dyDescent="0.3">
      <c r="A108" s="102"/>
      <c r="B108" s="103"/>
      <c r="D108" s="100" t="s">
        <v>165</v>
      </c>
      <c r="E108" s="100" t="s">
        <v>166</v>
      </c>
      <c r="F108" s="100" t="s">
        <v>192</v>
      </c>
      <c r="G108" s="100" t="s">
        <v>210</v>
      </c>
      <c r="H108" s="100" t="s">
        <v>172</v>
      </c>
      <c r="I108" s="101">
        <v>33775</v>
      </c>
    </row>
    <row r="109" spans="1:9" x14ac:dyDescent="0.3">
      <c r="A109" s="102"/>
      <c r="B109" s="103"/>
      <c r="D109" s="100" t="s">
        <v>165</v>
      </c>
      <c r="E109" s="100" t="s">
        <v>166</v>
      </c>
      <c r="F109" s="100" t="s">
        <v>193</v>
      </c>
      <c r="G109" s="100" t="s">
        <v>210</v>
      </c>
      <c r="H109" s="100" t="s">
        <v>172</v>
      </c>
      <c r="I109" s="101">
        <v>54326</v>
      </c>
    </row>
    <row r="110" spans="1:9" x14ac:dyDescent="0.3">
      <c r="A110" s="102"/>
      <c r="B110" s="103"/>
      <c r="D110" s="100" t="s">
        <v>165</v>
      </c>
      <c r="E110" s="100" t="s">
        <v>166</v>
      </c>
      <c r="F110" s="100" t="s">
        <v>194</v>
      </c>
      <c r="G110" s="100" t="s">
        <v>210</v>
      </c>
      <c r="H110" s="100" t="s">
        <v>172</v>
      </c>
      <c r="I110" s="101">
        <v>51507</v>
      </c>
    </row>
    <row r="111" spans="1:9" x14ac:dyDescent="0.3">
      <c r="A111" s="102"/>
      <c r="B111" s="103"/>
      <c r="D111" s="100" t="s">
        <v>165</v>
      </c>
      <c r="E111" s="100" t="s">
        <v>166</v>
      </c>
      <c r="F111" s="100" t="s">
        <v>195</v>
      </c>
      <c r="G111" s="100" t="s">
        <v>210</v>
      </c>
      <c r="H111" s="100" t="s">
        <v>172</v>
      </c>
      <c r="I111" s="101">
        <v>19326</v>
      </c>
    </row>
    <row r="112" spans="1:9" x14ac:dyDescent="0.3">
      <c r="A112" s="102"/>
      <c r="B112" s="103"/>
      <c r="D112" s="100" t="s">
        <v>165</v>
      </c>
      <c r="E112" s="100" t="s">
        <v>166</v>
      </c>
      <c r="F112" s="100" t="s">
        <v>196</v>
      </c>
      <c r="G112" s="100" t="s">
        <v>210</v>
      </c>
      <c r="H112" s="100" t="s">
        <v>172</v>
      </c>
      <c r="I112" s="101">
        <v>479311</v>
      </c>
    </row>
    <row r="113" spans="1:9" x14ac:dyDescent="0.3">
      <c r="A113" s="102"/>
      <c r="B113" s="103"/>
      <c r="D113" s="100" t="s">
        <v>165</v>
      </c>
      <c r="E113" s="100" t="s">
        <v>166</v>
      </c>
      <c r="F113" s="100" t="s">
        <v>197</v>
      </c>
      <c r="G113" s="100" t="s">
        <v>210</v>
      </c>
      <c r="H113" s="100" t="s">
        <v>172</v>
      </c>
      <c r="I113" s="101">
        <v>28482</v>
      </c>
    </row>
    <row r="114" spans="1:9" x14ac:dyDescent="0.3">
      <c r="A114" s="102"/>
      <c r="B114" s="103"/>
      <c r="D114" s="100" t="s">
        <v>165</v>
      </c>
      <c r="E114" s="100" t="s">
        <v>166</v>
      </c>
      <c r="F114" s="100" t="s">
        <v>198</v>
      </c>
      <c r="G114" s="100" t="s">
        <v>210</v>
      </c>
      <c r="H114" s="100" t="s">
        <v>172</v>
      </c>
      <c r="I114" s="101">
        <v>18792</v>
      </c>
    </row>
    <row r="115" spans="1:9" x14ac:dyDescent="0.3">
      <c r="A115" s="102"/>
      <c r="B115" s="103"/>
      <c r="D115" s="100" t="s">
        <v>165</v>
      </c>
      <c r="E115" s="100" t="s">
        <v>166</v>
      </c>
      <c r="F115" s="100" t="s">
        <v>199</v>
      </c>
      <c r="G115" s="100" t="s">
        <v>210</v>
      </c>
      <c r="H115" s="100" t="s">
        <v>172</v>
      </c>
      <c r="I115" s="101">
        <v>36202</v>
      </c>
    </row>
    <row r="116" spans="1:9" x14ac:dyDescent="0.3">
      <c r="A116" s="102"/>
      <c r="B116" s="103"/>
      <c r="D116" s="100" t="s">
        <v>165</v>
      </c>
      <c r="E116" s="100" t="s">
        <v>166</v>
      </c>
      <c r="F116" s="100" t="s">
        <v>200</v>
      </c>
      <c r="G116" s="100" t="s">
        <v>210</v>
      </c>
      <c r="H116" s="100" t="s">
        <v>172</v>
      </c>
      <c r="I116" s="101">
        <v>1034663</v>
      </c>
    </row>
    <row r="117" spans="1:9" x14ac:dyDescent="0.3">
      <c r="A117" s="102"/>
      <c r="B117" s="103"/>
      <c r="D117" s="100" t="s">
        <v>165</v>
      </c>
      <c r="E117" s="100" t="s">
        <v>166</v>
      </c>
      <c r="F117" s="100" t="s">
        <v>34</v>
      </c>
      <c r="G117" s="100" t="s">
        <v>210</v>
      </c>
      <c r="H117" s="100" t="s">
        <v>172</v>
      </c>
      <c r="I117" s="101">
        <v>94146</v>
      </c>
    </row>
    <row r="118" spans="1:9" x14ac:dyDescent="0.3">
      <c r="A118" s="102"/>
      <c r="B118" s="103"/>
      <c r="D118" s="100" t="s">
        <v>165</v>
      </c>
      <c r="E118" s="100" t="s">
        <v>166</v>
      </c>
      <c r="F118" s="100" t="s">
        <v>201</v>
      </c>
      <c r="G118" s="100" t="s">
        <v>210</v>
      </c>
      <c r="H118" s="100" t="s">
        <v>172</v>
      </c>
      <c r="I118" s="101">
        <v>212996</v>
      </c>
    </row>
    <row r="119" spans="1:9" x14ac:dyDescent="0.3">
      <c r="A119" s="102"/>
      <c r="B119" s="103"/>
      <c r="D119" s="100" t="s">
        <v>165</v>
      </c>
      <c r="E119" s="100" t="s">
        <v>166</v>
      </c>
      <c r="F119" s="100" t="s">
        <v>202</v>
      </c>
      <c r="G119" s="100" t="s">
        <v>210</v>
      </c>
      <c r="H119" s="100" t="s">
        <v>172</v>
      </c>
      <c r="I119" s="101">
        <v>74758</v>
      </c>
    </row>
    <row r="120" spans="1:9" x14ac:dyDescent="0.3">
      <c r="A120" s="102"/>
      <c r="B120" s="103"/>
      <c r="D120" s="100" t="s">
        <v>165</v>
      </c>
      <c r="E120" s="100" t="s">
        <v>166</v>
      </c>
      <c r="F120" s="100" t="s">
        <v>203</v>
      </c>
      <c r="G120" s="100" t="s">
        <v>210</v>
      </c>
      <c r="H120" s="100" t="s">
        <v>172</v>
      </c>
      <c r="I120" s="101">
        <v>29754</v>
      </c>
    </row>
    <row r="121" spans="1:9" x14ac:dyDescent="0.3">
      <c r="A121" s="102"/>
      <c r="B121" s="103"/>
      <c r="D121" s="100" t="s">
        <v>165</v>
      </c>
      <c r="E121" s="100" t="s">
        <v>166</v>
      </c>
      <c r="F121" s="100" t="s">
        <v>204</v>
      </c>
      <c r="G121" s="100" t="s">
        <v>210</v>
      </c>
      <c r="H121" s="100" t="s">
        <v>172</v>
      </c>
      <c r="I121" s="101">
        <v>196706</v>
      </c>
    </row>
    <row r="122" spans="1:9" x14ac:dyDescent="0.3">
      <c r="A122" s="102"/>
      <c r="B122" s="103"/>
      <c r="D122" s="100" t="s">
        <v>165</v>
      </c>
      <c r="E122" s="100" t="s">
        <v>166</v>
      </c>
      <c r="F122" s="100" t="s">
        <v>205</v>
      </c>
      <c r="G122" s="100" t="s">
        <v>210</v>
      </c>
      <c r="H122" s="100" t="s">
        <v>172</v>
      </c>
      <c r="I122" s="101">
        <v>11642</v>
      </c>
    </row>
    <row r="123" spans="1:9" x14ac:dyDescent="0.3">
      <c r="A123" s="102"/>
      <c r="B123" s="103"/>
      <c r="D123" s="100" t="s">
        <v>165</v>
      </c>
      <c r="E123" s="100" t="s">
        <v>166</v>
      </c>
      <c r="F123" s="100" t="s">
        <v>206</v>
      </c>
      <c r="G123" s="100" t="s">
        <v>210</v>
      </c>
      <c r="H123" s="100" t="s">
        <v>172</v>
      </c>
      <c r="I123" s="101">
        <v>67374</v>
      </c>
    </row>
    <row r="124" spans="1:9" x14ac:dyDescent="0.3">
      <c r="A124" s="102"/>
      <c r="B124" s="103"/>
      <c r="D124" s="100" t="s">
        <v>165</v>
      </c>
      <c r="E124" s="100" t="s">
        <v>166</v>
      </c>
      <c r="F124" s="100" t="s">
        <v>207</v>
      </c>
      <c r="G124" s="100" t="s">
        <v>210</v>
      </c>
      <c r="H124" s="100" t="s">
        <v>172</v>
      </c>
      <c r="I124" s="101">
        <v>388839</v>
      </c>
    </row>
    <row r="125" spans="1:9" x14ac:dyDescent="0.3">
      <c r="A125" s="102"/>
      <c r="B125" s="103"/>
      <c r="D125" s="100" t="s">
        <v>208</v>
      </c>
      <c r="E125" s="100" t="s">
        <v>166</v>
      </c>
      <c r="F125" s="100" t="s">
        <v>209</v>
      </c>
      <c r="G125" s="100" t="s">
        <v>210</v>
      </c>
      <c r="H125" s="100" t="s">
        <v>172</v>
      </c>
      <c r="I125" s="101">
        <v>25349</v>
      </c>
    </row>
    <row r="126" spans="1:9" x14ac:dyDescent="0.3">
      <c r="A126" s="102"/>
      <c r="B126" s="103"/>
      <c r="D126" s="100" t="s">
        <v>165</v>
      </c>
      <c r="E126" s="100" t="s">
        <v>185</v>
      </c>
      <c r="F126" s="100" t="s">
        <v>185</v>
      </c>
      <c r="H126" s="100" t="s">
        <v>83</v>
      </c>
      <c r="I126" s="101">
        <v>4918179</v>
      </c>
    </row>
    <row r="127" spans="1:9" x14ac:dyDescent="0.3">
      <c r="A127" s="102"/>
      <c r="B127" s="103"/>
      <c r="D127" s="100" t="s">
        <v>165</v>
      </c>
      <c r="E127" s="100" t="s">
        <v>185</v>
      </c>
      <c r="F127" s="100" t="s">
        <v>185</v>
      </c>
      <c r="H127" s="100" t="s">
        <v>172</v>
      </c>
      <c r="I127" s="101">
        <v>30010961</v>
      </c>
    </row>
    <row r="128" spans="1:9" x14ac:dyDescent="0.3">
      <c r="A128" s="102"/>
      <c r="B128" s="103"/>
      <c r="D128" s="100" t="s">
        <v>165</v>
      </c>
      <c r="E128" s="100" t="s">
        <v>179</v>
      </c>
      <c r="F128" s="100" t="s">
        <v>179</v>
      </c>
      <c r="H128" s="100" t="s">
        <v>83</v>
      </c>
      <c r="I128" s="101">
        <v>2504780</v>
      </c>
    </row>
    <row r="129" spans="1:10" x14ac:dyDescent="0.3">
      <c r="A129" s="102"/>
      <c r="B129" s="103"/>
      <c r="D129" s="100" t="s">
        <v>165</v>
      </c>
      <c r="E129" s="100" t="s">
        <v>179</v>
      </c>
      <c r="F129" s="100" t="s">
        <v>179</v>
      </c>
      <c r="H129" s="100" t="s">
        <v>172</v>
      </c>
      <c r="I129" s="101">
        <v>2514986</v>
      </c>
    </row>
    <row r="130" spans="1:10" x14ac:dyDescent="0.3">
      <c r="A130" s="102"/>
      <c r="B130" s="103"/>
      <c r="D130" s="100" t="s">
        <v>165</v>
      </c>
      <c r="E130" s="100" t="s">
        <v>183</v>
      </c>
      <c r="F130" s="100" t="s">
        <v>211</v>
      </c>
      <c r="H130" s="100" t="s">
        <v>83</v>
      </c>
      <c r="I130" s="101">
        <v>2768381.5699649956</v>
      </c>
    </row>
    <row r="131" spans="1:10" x14ac:dyDescent="0.3">
      <c r="A131" s="102"/>
      <c r="B131" s="103"/>
      <c r="D131" s="100" t="s">
        <v>165</v>
      </c>
      <c r="E131" s="100" t="s">
        <v>183</v>
      </c>
      <c r="F131" s="100" t="s">
        <v>212</v>
      </c>
      <c r="H131" s="100" t="s">
        <v>83</v>
      </c>
      <c r="I131" s="101">
        <v>664006.72919904278</v>
      </c>
    </row>
    <row r="132" spans="1:10" x14ac:dyDescent="0.3">
      <c r="A132" s="102"/>
      <c r="B132" s="103"/>
      <c r="D132" s="100" t="s">
        <v>165</v>
      </c>
      <c r="E132" s="100" t="s">
        <v>183</v>
      </c>
      <c r="F132" s="100" t="s">
        <v>213</v>
      </c>
      <c r="H132" s="100" t="s">
        <v>83</v>
      </c>
      <c r="I132" s="101">
        <v>111264.60188077201</v>
      </c>
    </row>
    <row r="133" spans="1:10" x14ac:dyDescent="0.3">
      <c r="A133" s="102"/>
      <c r="B133" s="103"/>
      <c r="D133" s="100" t="s">
        <v>165</v>
      </c>
      <c r="E133" s="100" t="s">
        <v>183</v>
      </c>
      <c r="F133" s="100" t="s">
        <v>214</v>
      </c>
      <c r="H133" s="100" t="s">
        <v>83</v>
      </c>
      <c r="I133" s="101">
        <v>146911.70012275799</v>
      </c>
    </row>
    <row r="134" spans="1:10" x14ac:dyDescent="0.3">
      <c r="A134" s="102"/>
      <c r="B134" s="103"/>
      <c r="D134" s="100" t="s">
        <v>165</v>
      </c>
      <c r="E134" s="100" t="s">
        <v>183</v>
      </c>
      <c r="F134" s="100" t="s">
        <v>215</v>
      </c>
      <c r="H134" s="100" t="s">
        <v>83</v>
      </c>
      <c r="I134" s="101">
        <v>203014.05693930993</v>
      </c>
    </row>
    <row r="135" spans="1:10" x14ac:dyDescent="0.3">
      <c r="A135" s="102"/>
      <c r="B135" s="103"/>
      <c r="D135" s="100" t="s">
        <v>165</v>
      </c>
      <c r="E135" s="100" t="s">
        <v>183</v>
      </c>
      <c r="F135" s="100" t="s">
        <v>216</v>
      </c>
      <c r="H135" s="100" t="s">
        <v>83</v>
      </c>
      <c r="I135" s="101">
        <v>97738.227198883571</v>
      </c>
    </row>
    <row r="136" spans="1:10" x14ac:dyDescent="0.3">
      <c r="A136" s="102"/>
      <c r="B136" s="103"/>
      <c r="D136" s="100" t="s">
        <v>165</v>
      </c>
      <c r="E136" s="100" t="s">
        <v>183</v>
      </c>
      <c r="F136" s="100" t="s">
        <v>217</v>
      </c>
      <c r="H136" s="100" t="s">
        <v>83</v>
      </c>
      <c r="I136" s="101">
        <v>64080.939375496178</v>
      </c>
    </row>
    <row r="137" spans="1:10" x14ac:dyDescent="0.3">
      <c r="A137" s="102"/>
      <c r="B137" s="103"/>
      <c r="D137" s="100" t="s">
        <v>165</v>
      </c>
      <c r="E137" s="100" t="s">
        <v>183</v>
      </c>
      <c r="F137" s="100" t="s">
        <v>218</v>
      </c>
      <c r="H137" s="100" t="s">
        <v>83</v>
      </c>
      <c r="I137" s="101">
        <v>24223.284928845853</v>
      </c>
    </row>
    <row r="138" spans="1:10" x14ac:dyDescent="0.3">
      <c r="A138" s="102"/>
      <c r="B138" s="103"/>
      <c r="D138" s="100" t="s">
        <v>165</v>
      </c>
      <c r="E138" s="100" t="s">
        <v>183</v>
      </c>
      <c r="F138" s="100" t="s">
        <v>219</v>
      </c>
      <c r="H138" s="100" t="s">
        <v>83</v>
      </c>
      <c r="I138" s="101">
        <v>67479.42584052679</v>
      </c>
    </row>
    <row r="139" spans="1:10" x14ac:dyDescent="0.3">
      <c r="A139" s="102"/>
      <c r="B139" s="103"/>
      <c r="D139" s="100" t="s">
        <v>165</v>
      </c>
      <c r="E139" s="100" t="s">
        <v>183</v>
      </c>
      <c r="F139" s="100" t="s">
        <v>220</v>
      </c>
      <c r="H139" s="100" t="s">
        <v>83</v>
      </c>
      <c r="I139" s="101">
        <v>33601.760436663477</v>
      </c>
      <c r="J139" s="104"/>
    </row>
    <row r="140" spans="1:10" x14ac:dyDescent="0.3">
      <c r="A140" s="102"/>
      <c r="B140" s="103"/>
      <c r="D140" s="100" t="s">
        <v>165</v>
      </c>
      <c r="E140" s="100" t="s">
        <v>183</v>
      </c>
      <c r="F140" s="100" t="s">
        <v>221</v>
      </c>
      <c r="H140" s="100" t="s">
        <v>83</v>
      </c>
      <c r="I140" s="101">
        <v>32215.589925705444</v>
      </c>
    </row>
    <row r="141" spans="1:10" x14ac:dyDescent="0.3">
      <c r="A141" s="102"/>
      <c r="B141" s="103"/>
      <c r="D141" s="100" t="s">
        <v>165</v>
      </c>
      <c r="E141" s="100" t="s">
        <v>183</v>
      </c>
      <c r="F141" s="100" t="s">
        <v>222</v>
      </c>
      <c r="H141" s="100" t="s">
        <v>83</v>
      </c>
      <c r="I141" s="101">
        <v>52795.238060935444</v>
      </c>
      <c r="J141"/>
    </row>
    <row r="142" spans="1:10" x14ac:dyDescent="0.3">
      <c r="A142" s="102"/>
      <c r="B142" s="103"/>
      <c r="D142" s="100" t="s">
        <v>165</v>
      </c>
      <c r="E142" s="100" t="s">
        <v>183</v>
      </c>
      <c r="F142" s="100" t="s">
        <v>223</v>
      </c>
      <c r="H142" s="100" t="s">
        <v>83</v>
      </c>
      <c r="I142" s="101">
        <v>37720.862528664133</v>
      </c>
      <c r="J142" s="104"/>
    </row>
    <row r="143" spans="1:10" x14ac:dyDescent="0.3">
      <c r="A143" s="102"/>
      <c r="B143" s="103"/>
      <c r="D143" s="100" t="s">
        <v>165</v>
      </c>
      <c r="E143" s="100" t="s">
        <v>183</v>
      </c>
      <c r="F143" s="100" t="s">
        <v>224</v>
      </c>
      <c r="H143" s="100" t="s">
        <v>83</v>
      </c>
      <c r="I143" s="101">
        <v>14837.313402405849</v>
      </c>
      <c r="J143" s="104"/>
    </row>
    <row r="144" spans="1:10" x14ac:dyDescent="0.3">
      <c r="A144" s="102"/>
      <c r="B144" s="103"/>
      <c r="D144" s="100" t="s">
        <v>165</v>
      </c>
      <c r="E144" s="100" t="s">
        <v>183</v>
      </c>
      <c r="F144" s="100" t="s">
        <v>225</v>
      </c>
      <c r="H144" s="100" t="s">
        <v>83</v>
      </c>
      <c r="I144" s="101">
        <v>19479.353659822958</v>
      </c>
      <c r="J144" s="104"/>
    </row>
    <row r="145" spans="1:10" x14ac:dyDescent="0.3">
      <c r="A145" s="102"/>
      <c r="B145" s="103"/>
      <c r="D145" s="100" t="s">
        <v>165</v>
      </c>
      <c r="E145" s="100" t="s">
        <v>183</v>
      </c>
      <c r="F145" s="100" t="s">
        <v>226</v>
      </c>
      <c r="H145" s="100" t="s">
        <v>83</v>
      </c>
      <c r="I145" s="101">
        <v>20156.249256585153</v>
      </c>
      <c r="J145" s="104"/>
    </row>
    <row r="146" spans="1:10" x14ac:dyDescent="0.3">
      <c r="A146" s="102"/>
      <c r="B146" s="103"/>
      <c r="D146" s="100" t="s">
        <v>165</v>
      </c>
      <c r="E146" s="100" t="s">
        <v>183</v>
      </c>
      <c r="F146" s="100" t="s">
        <v>227</v>
      </c>
      <c r="H146" s="100" t="s">
        <v>83</v>
      </c>
      <c r="I146" s="101">
        <v>12832.743834591285</v>
      </c>
      <c r="J146" s="104"/>
    </row>
    <row r="147" spans="1:10" x14ac:dyDescent="0.3">
      <c r="A147" s="102"/>
      <c r="B147" s="103"/>
      <c r="D147" s="100" t="s">
        <v>165</v>
      </c>
      <c r="E147" s="100" t="s">
        <v>183</v>
      </c>
      <c r="F147" s="100" t="s">
        <v>228</v>
      </c>
      <c r="H147" s="100" t="s">
        <v>83</v>
      </c>
      <c r="I147" s="101">
        <v>8194.403068998352</v>
      </c>
      <c r="J147" s="104"/>
    </row>
    <row r="148" spans="1:10" x14ac:dyDescent="0.3">
      <c r="A148" s="102"/>
      <c r="B148" s="103"/>
      <c r="D148" s="100" t="s">
        <v>165</v>
      </c>
      <c r="E148" s="100" t="s">
        <v>183</v>
      </c>
      <c r="F148" s="100" t="s">
        <v>229</v>
      </c>
      <c r="H148" s="100" t="s">
        <v>83</v>
      </c>
      <c r="I148" s="101">
        <v>14163.941327219538</v>
      </c>
      <c r="J148" s="104"/>
    </row>
    <row r="149" spans="1:10" x14ac:dyDescent="0.3">
      <c r="A149" s="102"/>
      <c r="B149" s="103"/>
      <c r="D149" s="100" t="s">
        <v>165</v>
      </c>
      <c r="E149" s="100" t="s">
        <v>183</v>
      </c>
      <c r="F149" s="100" t="s">
        <v>230</v>
      </c>
      <c r="H149" s="100" t="s">
        <v>83</v>
      </c>
      <c r="I149" s="101">
        <v>46744.435035296119</v>
      </c>
      <c r="J149" s="104"/>
    </row>
    <row r="150" spans="1:10" x14ac:dyDescent="0.3">
      <c r="A150" s="102"/>
      <c r="B150" s="103"/>
      <c r="D150" s="100" t="s">
        <v>165</v>
      </c>
      <c r="E150" s="100" t="s">
        <v>183</v>
      </c>
      <c r="F150" s="100" t="s">
        <v>231</v>
      </c>
      <c r="H150" s="100" t="s">
        <v>83</v>
      </c>
      <c r="I150" s="101">
        <v>14645.415999073215</v>
      </c>
      <c r="J150" s="104"/>
    </row>
    <row r="151" spans="1:10" x14ac:dyDescent="0.3">
      <c r="A151" s="102"/>
      <c r="B151" s="103"/>
      <c r="D151" s="100" t="s">
        <v>165</v>
      </c>
      <c r="E151" s="100" t="s">
        <v>183</v>
      </c>
      <c r="F151" s="100" t="s">
        <v>232</v>
      </c>
      <c r="H151" s="100" t="s">
        <v>83</v>
      </c>
      <c r="I151" s="101">
        <v>8960.9247229997272</v>
      </c>
      <c r="J151" s="104"/>
    </row>
    <row r="152" spans="1:10" x14ac:dyDescent="0.3">
      <c r="A152" s="102"/>
      <c r="B152" s="103"/>
      <c r="D152" s="100" t="s">
        <v>165</v>
      </c>
      <c r="E152" s="100" t="s">
        <v>183</v>
      </c>
      <c r="F152" s="100" t="s">
        <v>233</v>
      </c>
      <c r="H152" s="100" t="s">
        <v>83</v>
      </c>
      <c r="I152" s="101">
        <v>39724.367293872732</v>
      </c>
      <c r="J152" s="104"/>
    </row>
    <row r="153" spans="1:10" x14ac:dyDescent="0.3">
      <c r="A153" s="102"/>
      <c r="B153" s="103"/>
      <c r="D153" s="100" t="s">
        <v>165</v>
      </c>
      <c r="E153" s="100" t="s">
        <v>183</v>
      </c>
      <c r="F153" s="100" t="s">
        <v>234</v>
      </c>
      <c r="H153" s="100" t="s">
        <v>83</v>
      </c>
      <c r="I153" s="101">
        <v>43758.991547575533</v>
      </c>
      <c r="J153" s="104"/>
    </row>
    <row r="154" spans="1:10" x14ac:dyDescent="0.3">
      <c r="A154" s="102"/>
      <c r="B154" s="103"/>
      <c r="D154" s="100" t="s">
        <v>165</v>
      </c>
      <c r="E154" s="100" t="s">
        <v>183</v>
      </c>
      <c r="F154" s="100" t="s">
        <v>235</v>
      </c>
      <c r="H154" s="100" t="s">
        <v>83</v>
      </c>
      <c r="I154" s="101">
        <v>15106.694239125029</v>
      </c>
      <c r="J154" s="104"/>
    </row>
    <row r="155" spans="1:10" x14ac:dyDescent="0.3">
      <c r="A155" s="102"/>
      <c r="B155" s="103"/>
      <c r="D155" s="100" t="s">
        <v>165</v>
      </c>
      <c r="E155" s="100" t="s">
        <v>183</v>
      </c>
      <c r="F155" s="100" t="s">
        <v>236</v>
      </c>
      <c r="H155" s="100" t="s">
        <v>83</v>
      </c>
      <c r="I155" s="101">
        <v>11089.708594602349</v>
      </c>
      <c r="J155" s="104"/>
    </row>
    <row r="156" spans="1:10" x14ac:dyDescent="0.3">
      <c r="A156" s="102"/>
      <c r="B156" s="103"/>
      <c r="D156" s="100" t="s">
        <v>165</v>
      </c>
      <c r="E156" s="100" t="s">
        <v>183</v>
      </c>
      <c r="F156" s="100" t="s">
        <v>237</v>
      </c>
      <c r="H156" s="100" t="s">
        <v>83</v>
      </c>
      <c r="I156" s="101">
        <v>11389.180000000004</v>
      </c>
      <c r="J156" s="104"/>
    </row>
    <row r="157" spans="1:10" x14ac:dyDescent="0.3">
      <c r="A157" s="102"/>
      <c r="B157" s="103"/>
      <c r="D157" s="100" t="s">
        <v>165</v>
      </c>
      <c r="E157" s="100" t="s">
        <v>183</v>
      </c>
      <c r="F157" s="100" t="s">
        <v>211</v>
      </c>
      <c r="H157" s="100" t="s">
        <v>172</v>
      </c>
      <c r="I157" s="101">
        <v>1394842.2199526178</v>
      </c>
      <c r="J157" s="104"/>
    </row>
    <row r="158" spans="1:10" x14ac:dyDescent="0.3">
      <c r="A158" s="102"/>
      <c r="B158" s="103"/>
      <c r="D158" s="100" t="s">
        <v>165</v>
      </c>
      <c r="E158" s="100" t="s">
        <v>183</v>
      </c>
      <c r="F158" s="100" t="s">
        <v>212</v>
      </c>
      <c r="H158" s="100" t="s">
        <v>172</v>
      </c>
      <c r="I158" s="101">
        <v>811637.62318684487</v>
      </c>
      <c r="J158" s="104"/>
    </row>
    <row r="159" spans="1:10" x14ac:dyDescent="0.3">
      <c r="A159" s="102"/>
      <c r="B159" s="103"/>
      <c r="D159" s="100" t="s">
        <v>165</v>
      </c>
      <c r="E159" s="100" t="s">
        <v>183</v>
      </c>
      <c r="F159" s="100" t="s">
        <v>213</v>
      </c>
      <c r="H159" s="100" t="s">
        <v>172</v>
      </c>
      <c r="I159" s="101">
        <v>267215.17163928604</v>
      </c>
      <c r="J159" s="104"/>
    </row>
    <row r="160" spans="1:10" x14ac:dyDescent="0.3">
      <c r="A160" s="102"/>
      <c r="B160" s="103"/>
      <c r="D160" s="100" t="s">
        <v>165</v>
      </c>
      <c r="E160" s="100" t="s">
        <v>183</v>
      </c>
      <c r="F160" s="100" t="s">
        <v>214</v>
      </c>
      <c r="H160" s="100" t="s">
        <v>172</v>
      </c>
      <c r="I160" s="101">
        <v>46246.90032444126</v>
      </c>
      <c r="J160" s="104"/>
    </row>
    <row r="161" spans="1:10" x14ac:dyDescent="0.3">
      <c r="A161" s="102"/>
      <c r="B161" s="103"/>
      <c r="D161" s="100" t="s">
        <v>165</v>
      </c>
      <c r="E161" s="100" t="s">
        <v>183</v>
      </c>
      <c r="F161" s="100" t="s">
        <v>215</v>
      </c>
      <c r="H161" s="100" t="s">
        <v>172</v>
      </c>
      <c r="I161" s="101">
        <v>439903.36613263411</v>
      </c>
      <c r="J161" s="104"/>
    </row>
    <row r="162" spans="1:10" x14ac:dyDescent="0.3">
      <c r="A162" s="102"/>
      <c r="B162" s="103"/>
      <c r="D162" s="100" t="s">
        <v>165</v>
      </c>
      <c r="E162" s="100" t="s">
        <v>183</v>
      </c>
      <c r="F162" s="100" t="s">
        <v>216</v>
      </c>
      <c r="H162" s="100" t="s">
        <v>172</v>
      </c>
      <c r="I162" s="101">
        <v>67835.190574677486</v>
      </c>
      <c r="J162" s="104"/>
    </row>
    <row r="163" spans="1:10" x14ac:dyDescent="0.3">
      <c r="A163" s="102"/>
      <c r="B163" s="103"/>
      <c r="D163" s="100" t="s">
        <v>165</v>
      </c>
      <c r="E163" s="100" t="s">
        <v>183</v>
      </c>
      <c r="F163" s="100" t="s">
        <v>217</v>
      </c>
      <c r="H163" s="100" t="s">
        <v>172</v>
      </c>
      <c r="I163" s="101">
        <v>54168.03683801728</v>
      </c>
      <c r="J163" s="104"/>
    </row>
    <row r="164" spans="1:10" x14ac:dyDescent="0.3">
      <c r="A164" s="102"/>
      <c r="B164" s="103"/>
      <c r="D164" s="100" t="s">
        <v>165</v>
      </c>
      <c r="E164" s="100" t="s">
        <v>183</v>
      </c>
      <c r="F164" s="100" t="s">
        <v>218</v>
      </c>
      <c r="H164" s="100" t="s">
        <v>172</v>
      </c>
      <c r="I164" s="101">
        <v>22032.15494587176</v>
      </c>
      <c r="J164" s="104"/>
    </row>
    <row r="165" spans="1:10" x14ac:dyDescent="0.3">
      <c r="A165" s="102"/>
      <c r="B165" s="103"/>
      <c r="D165" s="100" t="s">
        <v>165</v>
      </c>
      <c r="E165" s="100" t="s">
        <v>183</v>
      </c>
      <c r="F165" s="100" t="s">
        <v>219</v>
      </c>
      <c r="H165" s="100" t="s">
        <v>172</v>
      </c>
      <c r="I165" s="101">
        <v>36218.408889175567</v>
      </c>
      <c r="J165" s="104"/>
    </row>
    <row r="166" spans="1:10" x14ac:dyDescent="0.3">
      <c r="A166" s="102"/>
      <c r="B166" s="103"/>
      <c r="D166" s="100" t="s">
        <v>165</v>
      </c>
      <c r="E166" s="100" t="s">
        <v>183</v>
      </c>
      <c r="F166" s="100" t="s">
        <v>220</v>
      </c>
      <c r="H166" s="100" t="s">
        <v>172</v>
      </c>
      <c r="I166" s="101">
        <v>20705.025500478954</v>
      </c>
      <c r="J166" s="104"/>
    </row>
    <row r="167" spans="1:10" x14ac:dyDescent="0.3">
      <c r="A167" s="102"/>
      <c r="B167" s="103"/>
      <c r="D167" s="100" t="s">
        <v>165</v>
      </c>
      <c r="E167" s="100" t="s">
        <v>183</v>
      </c>
      <c r="F167" s="100" t="s">
        <v>221</v>
      </c>
      <c r="H167" s="100" t="s">
        <v>172</v>
      </c>
      <c r="I167" s="101">
        <v>10261.760239619123</v>
      </c>
      <c r="J167" s="104"/>
    </row>
    <row r="168" spans="1:10" x14ac:dyDescent="0.3">
      <c r="A168" s="102"/>
      <c r="B168" s="103"/>
      <c r="D168" s="100" t="s">
        <v>165</v>
      </c>
      <c r="E168" s="100" t="s">
        <v>183</v>
      </c>
      <c r="F168" s="100" t="s">
        <v>222</v>
      </c>
      <c r="H168" s="100" t="s">
        <v>172</v>
      </c>
      <c r="I168" s="101">
        <v>155142.02367259472</v>
      </c>
      <c r="J168" s="104"/>
    </row>
    <row r="169" spans="1:10" x14ac:dyDescent="0.3">
      <c r="A169" s="102"/>
      <c r="B169" s="103"/>
      <c r="D169" s="100" t="s">
        <v>165</v>
      </c>
      <c r="E169" s="100" t="s">
        <v>183</v>
      </c>
      <c r="F169" s="100" t="s">
        <v>223</v>
      </c>
      <c r="H169" s="100" t="s">
        <v>172</v>
      </c>
      <c r="I169" s="101">
        <v>8906.7069533161502</v>
      </c>
      <c r="J169" s="104"/>
    </row>
    <row r="170" spans="1:10" x14ac:dyDescent="0.3">
      <c r="A170" s="102"/>
      <c r="B170" s="103"/>
      <c r="D170" s="100" t="s">
        <v>165</v>
      </c>
      <c r="E170" s="100" t="s">
        <v>183</v>
      </c>
      <c r="F170" s="100" t="s">
        <v>224</v>
      </c>
      <c r="H170" s="100" t="s">
        <v>172</v>
      </c>
      <c r="I170" s="101">
        <v>14490.287743673958</v>
      </c>
      <c r="J170" s="104"/>
    </row>
    <row r="171" spans="1:10" x14ac:dyDescent="0.3">
      <c r="A171" s="102"/>
      <c r="B171" s="103"/>
      <c r="D171" s="100" t="s">
        <v>165</v>
      </c>
      <c r="E171" s="100" t="s">
        <v>183</v>
      </c>
      <c r="F171" s="100" t="s">
        <v>225</v>
      </c>
      <c r="H171" s="100" t="s">
        <v>172</v>
      </c>
      <c r="I171" s="101">
        <v>2891.525997206541</v>
      </c>
      <c r="J171" s="104"/>
    </row>
    <row r="172" spans="1:10" x14ac:dyDescent="0.3">
      <c r="A172" s="102"/>
      <c r="B172" s="103"/>
      <c r="D172" s="100" t="s">
        <v>165</v>
      </c>
      <c r="E172" s="100" t="s">
        <v>183</v>
      </c>
      <c r="F172" s="100" t="s">
        <v>226</v>
      </c>
      <c r="H172" s="100" t="s">
        <v>172</v>
      </c>
      <c r="I172" s="101">
        <v>3772.5482942291678</v>
      </c>
      <c r="J172" s="104"/>
    </row>
    <row r="173" spans="1:10" x14ac:dyDescent="0.3">
      <c r="A173" s="102"/>
      <c r="B173" s="103"/>
      <c r="D173" s="100" t="s">
        <v>165</v>
      </c>
      <c r="E173" s="100" t="s">
        <v>183</v>
      </c>
      <c r="F173" s="100" t="s">
        <v>227</v>
      </c>
      <c r="H173" s="100" t="s">
        <v>172</v>
      </c>
      <c r="I173" s="101">
        <v>7564.8742461650545</v>
      </c>
      <c r="J173" s="104"/>
    </row>
    <row r="174" spans="1:10" x14ac:dyDescent="0.3">
      <c r="A174" s="102"/>
      <c r="B174" s="103"/>
      <c r="D174" s="100" t="s">
        <v>165</v>
      </c>
      <c r="E174" s="100" t="s">
        <v>183</v>
      </c>
      <c r="F174" s="100" t="s">
        <v>228</v>
      </c>
      <c r="H174" s="100" t="s">
        <v>172</v>
      </c>
      <c r="I174" s="101">
        <v>1337.0148928714457</v>
      </c>
      <c r="J174" s="104"/>
    </row>
    <row r="175" spans="1:10" x14ac:dyDescent="0.3">
      <c r="A175" s="102"/>
      <c r="B175" s="103"/>
      <c r="D175" s="100" t="s">
        <v>165</v>
      </c>
      <c r="E175" s="100" t="s">
        <v>183</v>
      </c>
      <c r="F175" s="100" t="s">
        <v>229</v>
      </c>
      <c r="H175" s="100" t="s">
        <v>172</v>
      </c>
      <c r="I175" s="101">
        <v>2589.9679893385551</v>
      </c>
      <c r="J175" s="104"/>
    </row>
    <row r="176" spans="1:10" x14ac:dyDescent="0.3">
      <c r="A176" s="102"/>
      <c r="B176" s="103"/>
      <c r="D176" s="100" t="s">
        <v>165</v>
      </c>
      <c r="E176" s="100" t="s">
        <v>183</v>
      </c>
      <c r="F176" s="100" t="s">
        <v>230</v>
      </c>
      <c r="H176" s="100" t="s">
        <v>172</v>
      </c>
      <c r="I176" s="101">
        <v>17910.534120992499</v>
      </c>
      <c r="J176" s="104"/>
    </row>
    <row r="177" spans="1:10" x14ac:dyDescent="0.3">
      <c r="A177" s="102"/>
      <c r="B177" s="103"/>
      <c r="D177" s="100" t="s">
        <v>165</v>
      </c>
      <c r="E177" s="100" t="s">
        <v>183</v>
      </c>
      <c r="F177" s="100" t="s">
        <v>231</v>
      </c>
      <c r="H177" s="100" t="s">
        <v>172</v>
      </c>
      <c r="I177" s="101">
        <v>1333.0758648947324</v>
      </c>
      <c r="J177" s="104"/>
    </row>
    <row r="178" spans="1:10" x14ac:dyDescent="0.3">
      <c r="A178" s="102"/>
      <c r="B178" s="103"/>
      <c r="D178" s="100" t="s">
        <v>165</v>
      </c>
      <c r="E178" s="100" t="s">
        <v>183</v>
      </c>
      <c r="F178" s="100" t="s">
        <v>232</v>
      </c>
      <c r="H178" s="100" t="s">
        <v>172</v>
      </c>
      <c r="I178" s="101">
        <v>1571.0968819961126</v>
      </c>
      <c r="J178" s="104"/>
    </row>
    <row r="179" spans="1:10" x14ac:dyDescent="0.3">
      <c r="A179" s="102"/>
      <c r="B179" s="103"/>
      <c r="D179" s="100" t="s">
        <v>165</v>
      </c>
      <c r="E179" s="100" t="s">
        <v>183</v>
      </c>
      <c r="F179" s="100" t="s">
        <v>233</v>
      </c>
      <c r="H179" s="100" t="s">
        <v>172</v>
      </c>
      <c r="I179" s="101">
        <v>44836.361617394461</v>
      </c>
      <c r="J179" s="104"/>
    </row>
    <row r="180" spans="1:10" x14ac:dyDescent="0.3">
      <c r="A180" s="102"/>
      <c r="B180" s="103"/>
      <c r="D180" s="100" t="s">
        <v>165</v>
      </c>
      <c r="E180" s="100" t="s">
        <v>183</v>
      </c>
      <c r="F180" s="100" t="s">
        <v>234</v>
      </c>
      <c r="H180" s="100" t="s">
        <v>172</v>
      </c>
      <c r="I180" s="101">
        <v>10802.584076953572</v>
      </c>
      <c r="J180" s="104"/>
    </row>
    <row r="181" spans="1:10" x14ac:dyDescent="0.3">
      <c r="A181" s="102"/>
      <c r="B181" s="103"/>
      <c r="D181" s="100" t="s">
        <v>165</v>
      </c>
      <c r="E181" s="100" t="s">
        <v>183</v>
      </c>
      <c r="F181" s="100" t="s">
        <v>235</v>
      </c>
      <c r="H181" s="100" t="s">
        <v>172</v>
      </c>
      <c r="I181" s="101">
        <v>3344.5228131257586</v>
      </c>
      <c r="J181" s="104"/>
    </row>
    <row r="182" spans="1:10" x14ac:dyDescent="0.3">
      <c r="A182" s="102"/>
      <c r="B182" s="103"/>
      <c r="D182" s="100" t="s">
        <v>165</v>
      </c>
      <c r="E182" s="100" t="s">
        <v>183</v>
      </c>
      <c r="F182" s="100" t="s">
        <v>236</v>
      </c>
      <c r="H182" s="100" t="s">
        <v>172</v>
      </c>
      <c r="I182" s="101">
        <v>3119.8695790905772</v>
      </c>
      <c r="J182" s="104"/>
    </row>
    <row r="183" spans="1:10" x14ac:dyDescent="0.3">
      <c r="A183" s="102"/>
      <c r="B183" s="103"/>
      <c r="D183" s="100" t="s">
        <v>165</v>
      </c>
      <c r="E183" s="100" t="s">
        <v>183</v>
      </c>
      <c r="F183" s="100" t="s">
        <v>237</v>
      </c>
      <c r="H183" s="100" t="s">
        <v>172</v>
      </c>
      <c r="I183" s="101">
        <v>5168</v>
      </c>
      <c r="J183" s="104"/>
    </row>
    <row r="184" spans="1:10" x14ac:dyDescent="0.3">
      <c r="A184" s="102"/>
      <c r="B184" s="103"/>
      <c r="D184" s="100" t="s">
        <v>165</v>
      </c>
      <c r="E184" s="100" t="s">
        <v>183</v>
      </c>
      <c r="F184" s="100" t="s">
        <v>238</v>
      </c>
      <c r="H184" s="100" t="s">
        <v>83</v>
      </c>
      <c r="I184" s="101">
        <v>4707.9535451951524</v>
      </c>
      <c r="J184" s="104"/>
    </row>
    <row r="185" spans="1:10" x14ac:dyDescent="0.3">
      <c r="A185" s="102"/>
      <c r="B185" s="103"/>
      <c r="D185" s="100" t="s">
        <v>165</v>
      </c>
      <c r="E185" s="100" t="s">
        <v>183</v>
      </c>
      <c r="F185" s="100" t="s">
        <v>238</v>
      </c>
      <c r="H185" s="100" t="s">
        <v>172</v>
      </c>
      <c r="I185" s="101">
        <v>1632.07199358711</v>
      </c>
      <c r="J185" s="104"/>
    </row>
    <row r="186" spans="1:10" x14ac:dyDescent="0.3">
      <c r="A186" s="102"/>
      <c r="B186" s="103"/>
      <c r="D186" s="100" t="s">
        <v>239</v>
      </c>
      <c r="E186" s="105" t="s">
        <v>176</v>
      </c>
      <c r="F186" s="100" t="s">
        <v>240</v>
      </c>
      <c r="H186" s="100" t="s">
        <v>83</v>
      </c>
      <c r="I186" s="101">
        <v>4104533</v>
      </c>
      <c r="J186" s="104"/>
    </row>
    <row r="187" spans="1:10" x14ac:dyDescent="0.3">
      <c r="A187" s="102"/>
      <c r="B187" s="103"/>
      <c r="D187" s="100" t="s">
        <v>239</v>
      </c>
      <c r="E187" s="105" t="s">
        <v>176</v>
      </c>
      <c r="F187" s="100" t="s">
        <v>241</v>
      </c>
      <c r="H187" s="100" t="s">
        <v>83</v>
      </c>
      <c r="I187" s="101">
        <v>1510692</v>
      </c>
      <c r="J187" s="104"/>
    </row>
    <row r="188" spans="1:10" x14ac:dyDescent="0.3">
      <c r="A188" s="102"/>
      <c r="B188" s="103"/>
      <c r="D188" s="100" t="s">
        <v>239</v>
      </c>
      <c r="E188" s="105" t="s">
        <v>176</v>
      </c>
      <c r="F188" s="100" t="s">
        <v>242</v>
      </c>
      <c r="H188" s="100" t="s">
        <v>83</v>
      </c>
      <c r="I188" s="101">
        <v>4173314</v>
      </c>
      <c r="J188" s="104"/>
    </row>
    <row r="189" spans="1:10" x14ac:dyDescent="0.3">
      <c r="A189" s="102"/>
      <c r="B189" s="103"/>
      <c r="D189" s="100" t="s">
        <v>239</v>
      </c>
      <c r="E189" s="105" t="s">
        <v>176</v>
      </c>
      <c r="F189" s="100" t="s">
        <v>243</v>
      </c>
      <c r="H189" s="100" t="s">
        <v>83</v>
      </c>
      <c r="I189" s="101">
        <v>3191784</v>
      </c>
      <c r="J189" s="104"/>
    </row>
    <row r="190" spans="1:10" x14ac:dyDescent="0.3">
      <c r="A190" s="102"/>
      <c r="B190" s="103"/>
      <c r="D190" s="100" t="s">
        <v>239</v>
      </c>
      <c r="E190" s="105" t="s">
        <v>176</v>
      </c>
      <c r="F190" s="100" t="s">
        <v>244</v>
      </c>
      <c r="H190" s="100" t="s">
        <v>83</v>
      </c>
      <c r="I190" s="101">
        <v>3140749</v>
      </c>
      <c r="J190" s="104"/>
    </row>
    <row r="191" spans="1:10" x14ac:dyDescent="0.3">
      <c r="A191" s="102"/>
      <c r="B191" s="103"/>
      <c r="D191" s="100" t="s">
        <v>239</v>
      </c>
      <c r="E191" s="105" t="s">
        <v>176</v>
      </c>
      <c r="F191" s="100" t="s">
        <v>245</v>
      </c>
      <c r="H191" s="100" t="s">
        <v>83</v>
      </c>
      <c r="I191" s="101">
        <v>11319730</v>
      </c>
      <c r="J191" s="104"/>
    </row>
    <row r="192" spans="1:10" x14ac:dyDescent="0.3">
      <c r="A192" s="102"/>
      <c r="B192" s="103"/>
      <c r="D192" s="100" t="s">
        <v>239</v>
      </c>
      <c r="E192" s="105" t="s">
        <v>176</v>
      </c>
      <c r="F192" s="100" t="s">
        <v>246</v>
      </c>
      <c r="H192" s="100" t="s">
        <v>83</v>
      </c>
      <c r="I192" s="101">
        <v>48492568</v>
      </c>
      <c r="J192" s="104"/>
    </row>
    <row r="193" spans="1:10" x14ac:dyDescent="0.3">
      <c r="A193" s="102"/>
      <c r="B193" s="103"/>
      <c r="D193" s="100" t="s">
        <v>239</v>
      </c>
      <c r="E193" s="105" t="s">
        <v>176</v>
      </c>
      <c r="F193" s="100" t="s">
        <v>247</v>
      </c>
      <c r="H193" s="100" t="s">
        <v>83</v>
      </c>
      <c r="I193" s="101">
        <v>7079618</v>
      </c>
      <c r="J193" s="104"/>
    </row>
    <row r="194" spans="1:10" x14ac:dyDescent="0.3">
      <c r="A194" s="102"/>
      <c r="B194" s="103"/>
      <c r="D194" s="100" t="s">
        <v>239</v>
      </c>
      <c r="E194" s="105" t="s">
        <v>176</v>
      </c>
      <c r="F194" s="100" t="s">
        <v>248</v>
      </c>
      <c r="H194" s="100" t="s">
        <v>83</v>
      </c>
      <c r="I194" s="101">
        <v>5316427</v>
      </c>
      <c r="J194" s="104"/>
    </row>
    <row r="195" spans="1:10" x14ac:dyDescent="0.3">
      <c r="A195" s="102"/>
      <c r="B195" s="103"/>
      <c r="D195" s="100" t="s">
        <v>239</v>
      </c>
      <c r="E195" s="105" t="s">
        <v>176</v>
      </c>
      <c r="F195" s="100" t="s">
        <v>249</v>
      </c>
      <c r="H195" s="100" t="s">
        <v>83</v>
      </c>
      <c r="I195" s="101">
        <v>4046638</v>
      </c>
      <c r="J195" s="104"/>
    </row>
    <row r="196" spans="1:10" x14ac:dyDescent="0.3">
      <c r="A196" s="102"/>
      <c r="B196" s="103"/>
      <c r="D196" s="100" t="s">
        <v>239</v>
      </c>
      <c r="E196" s="105" t="s">
        <v>176</v>
      </c>
      <c r="F196" s="100" t="s">
        <v>250</v>
      </c>
      <c r="H196" s="100" t="s">
        <v>83</v>
      </c>
      <c r="I196" s="101">
        <v>1042594</v>
      </c>
      <c r="J196" s="104"/>
    </row>
    <row r="197" spans="1:10" x14ac:dyDescent="0.3">
      <c r="A197" s="102"/>
      <c r="B197" s="103"/>
      <c r="D197" s="100" t="s">
        <v>208</v>
      </c>
      <c r="E197" s="105" t="s">
        <v>176</v>
      </c>
      <c r="F197" s="100" t="s">
        <v>251</v>
      </c>
      <c r="H197" s="100" t="s">
        <v>83</v>
      </c>
      <c r="I197" s="101">
        <v>2636567.08</v>
      </c>
      <c r="J197" s="104"/>
    </row>
    <row r="198" spans="1:10" x14ac:dyDescent="0.3">
      <c r="A198" s="102"/>
      <c r="B198" s="103"/>
      <c r="D198" s="100" t="s">
        <v>208</v>
      </c>
      <c r="E198" s="105" t="s">
        <v>176</v>
      </c>
      <c r="F198" s="100" t="s">
        <v>252</v>
      </c>
      <c r="H198" s="100" t="s">
        <v>83</v>
      </c>
      <c r="I198" s="101">
        <v>1709755.4200000002</v>
      </c>
      <c r="J198" s="104"/>
    </row>
    <row r="199" spans="1:10" x14ac:dyDescent="0.3">
      <c r="A199" s="102"/>
      <c r="B199" s="103"/>
      <c r="D199" s="100" t="s">
        <v>208</v>
      </c>
      <c r="E199" s="105" t="s">
        <v>176</v>
      </c>
      <c r="F199" s="100" t="s">
        <v>253</v>
      </c>
      <c r="H199" s="100" t="s">
        <v>83</v>
      </c>
      <c r="I199" s="101">
        <v>8293380.7899999991</v>
      </c>
      <c r="J199" s="104"/>
    </row>
    <row r="200" spans="1:10" x14ac:dyDescent="0.3">
      <c r="A200" s="102"/>
      <c r="B200" s="103"/>
      <c r="D200" s="100" t="s">
        <v>239</v>
      </c>
      <c r="E200" s="105" t="s">
        <v>176</v>
      </c>
      <c r="F200" s="105" t="s">
        <v>254</v>
      </c>
      <c r="G200" s="105"/>
      <c r="H200" s="105" t="s">
        <v>83</v>
      </c>
      <c r="I200" s="106"/>
      <c r="J200" s="104"/>
    </row>
    <row r="201" spans="1:10" x14ac:dyDescent="0.3">
      <c r="A201" s="102"/>
      <c r="B201" s="103"/>
      <c r="D201" s="100" t="s">
        <v>208</v>
      </c>
      <c r="E201" s="105" t="s">
        <v>176</v>
      </c>
      <c r="F201" s="100" t="s">
        <v>240</v>
      </c>
      <c r="H201" s="100" t="s">
        <v>172</v>
      </c>
      <c r="I201" s="101">
        <v>200776</v>
      </c>
      <c r="J201" s="104"/>
    </row>
    <row r="202" spans="1:10" x14ac:dyDescent="0.3">
      <c r="A202" s="102"/>
      <c r="B202" s="103"/>
      <c r="D202" s="100" t="s">
        <v>208</v>
      </c>
      <c r="E202" s="105" t="s">
        <v>176</v>
      </c>
      <c r="F202" s="100" t="s">
        <v>241</v>
      </c>
      <c r="H202" s="100" t="s">
        <v>172</v>
      </c>
      <c r="I202" s="101">
        <v>27584</v>
      </c>
      <c r="J202" s="104"/>
    </row>
    <row r="203" spans="1:10" x14ac:dyDescent="0.3">
      <c r="A203" s="102"/>
      <c r="B203" s="103"/>
      <c r="D203" s="100" t="s">
        <v>208</v>
      </c>
      <c r="E203" s="105" t="s">
        <v>176</v>
      </c>
      <c r="F203" s="100" t="s">
        <v>242</v>
      </c>
      <c r="H203" s="100" t="s">
        <v>172</v>
      </c>
      <c r="I203" s="101">
        <v>228916</v>
      </c>
      <c r="J203" s="104"/>
    </row>
    <row r="204" spans="1:10" x14ac:dyDescent="0.3">
      <c r="A204" s="102"/>
      <c r="B204" s="103"/>
      <c r="D204" s="100" t="s">
        <v>208</v>
      </c>
      <c r="E204" s="105" t="s">
        <v>176</v>
      </c>
      <c r="F204" s="100" t="s">
        <v>243</v>
      </c>
      <c r="H204" s="100" t="s">
        <v>172</v>
      </c>
      <c r="I204" s="101">
        <v>175211</v>
      </c>
      <c r="J204" s="104"/>
    </row>
    <row r="205" spans="1:10" x14ac:dyDescent="0.3">
      <c r="A205" s="102"/>
      <c r="B205" s="103"/>
      <c r="D205" s="100" t="s">
        <v>208</v>
      </c>
      <c r="E205" s="105" t="s">
        <v>176</v>
      </c>
      <c r="F205" s="100" t="s">
        <v>244</v>
      </c>
      <c r="H205" s="100" t="s">
        <v>172</v>
      </c>
      <c r="I205" s="101">
        <v>158779</v>
      </c>
      <c r="J205" s="104"/>
    </row>
    <row r="206" spans="1:10" x14ac:dyDescent="0.3">
      <c r="A206" s="102"/>
      <c r="B206" s="103"/>
      <c r="D206" s="100" t="s">
        <v>208</v>
      </c>
      <c r="E206" s="105" t="s">
        <v>176</v>
      </c>
      <c r="F206" s="100" t="s">
        <v>245</v>
      </c>
      <c r="H206" s="100" t="s">
        <v>172</v>
      </c>
      <c r="I206" s="101">
        <v>3370921</v>
      </c>
      <c r="J206" s="104"/>
    </row>
    <row r="207" spans="1:10" x14ac:dyDescent="0.3">
      <c r="A207" s="102"/>
      <c r="B207" s="103"/>
      <c r="D207" s="100" t="s">
        <v>208</v>
      </c>
      <c r="E207" s="105" t="s">
        <v>176</v>
      </c>
      <c r="F207" s="100" t="s">
        <v>246</v>
      </c>
      <c r="H207" s="100" t="s">
        <v>172</v>
      </c>
      <c r="I207" s="101">
        <v>1723271</v>
      </c>
      <c r="J207" s="104"/>
    </row>
    <row r="208" spans="1:10" x14ac:dyDescent="0.3">
      <c r="A208" s="102"/>
      <c r="B208" s="103"/>
      <c r="D208" s="100" t="s">
        <v>208</v>
      </c>
      <c r="E208" s="105" t="s">
        <v>176</v>
      </c>
      <c r="F208" s="100" t="s">
        <v>247</v>
      </c>
      <c r="H208" s="100" t="s">
        <v>172</v>
      </c>
      <c r="I208" s="101">
        <v>442094</v>
      </c>
      <c r="J208" s="104"/>
    </row>
    <row r="209" spans="1:10" x14ac:dyDescent="0.3">
      <c r="A209" s="102"/>
      <c r="B209" s="103"/>
      <c r="D209" s="100" t="s">
        <v>208</v>
      </c>
      <c r="E209" s="105" t="s">
        <v>176</v>
      </c>
      <c r="F209" s="100" t="s">
        <v>248</v>
      </c>
      <c r="H209" s="100" t="s">
        <v>172</v>
      </c>
      <c r="I209" s="101">
        <v>638853</v>
      </c>
      <c r="J209" s="104"/>
    </row>
    <row r="210" spans="1:10" x14ac:dyDescent="0.3">
      <c r="A210" s="102"/>
      <c r="B210" s="103"/>
      <c r="D210" s="100" t="s">
        <v>208</v>
      </c>
      <c r="E210" s="105" t="s">
        <v>176</v>
      </c>
      <c r="F210" s="100" t="s">
        <v>249</v>
      </c>
      <c r="H210" s="100" t="s">
        <v>172</v>
      </c>
      <c r="I210" s="101">
        <v>227360</v>
      </c>
      <c r="J210" s="104"/>
    </row>
    <row r="211" spans="1:10" x14ac:dyDescent="0.3">
      <c r="A211" s="102"/>
      <c r="B211" s="103"/>
      <c r="D211" s="100" t="s">
        <v>208</v>
      </c>
      <c r="E211" s="105" t="s">
        <v>176</v>
      </c>
      <c r="F211" s="100" t="s">
        <v>250</v>
      </c>
      <c r="H211" s="100" t="s">
        <v>172</v>
      </c>
      <c r="I211" s="101">
        <v>26049</v>
      </c>
      <c r="J211" s="104"/>
    </row>
    <row r="212" spans="1:10" x14ac:dyDescent="0.3">
      <c r="A212" s="102"/>
      <c r="B212" s="103"/>
      <c r="D212" s="100" t="s">
        <v>208</v>
      </c>
      <c r="E212" s="105" t="s">
        <v>176</v>
      </c>
      <c r="F212" s="100" t="s">
        <v>251</v>
      </c>
      <c r="H212" s="100" t="s">
        <v>172</v>
      </c>
      <c r="I212" s="101">
        <v>11016237.1</v>
      </c>
      <c r="J212" s="104"/>
    </row>
    <row r="213" spans="1:10" x14ac:dyDescent="0.3">
      <c r="A213" s="102"/>
      <c r="B213" s="103"/>
      <c r="D213" s="100" t="s">
        <v>208</v>
      </c>
      <c r="E213" s="105" t="s">
        <v>176</v>
      </c>
      <c r="F213" s="100" t="s">
        <v>252</v>
      </c>
      <c r="H213" s="100" t="s">
        <v>172</v>
      </c>
      <c r="I213" s="101">
        <v>1947717.14</v>
      </c>
      <c r="J213" s="104"/>
    </row>
    <row r="214" spans="1:10" x14ac:dyDescent="0.3">
      <c r="A214" s="102"/>
      <c r="B214" s="103"/>
      <c r="D214" s="100" t="s">
        <v>208</v>
      </c>
      <c r="E214" s="105" t="s">
        <v>176</v>
      </c>
      <c r="F214" s="100" t="s">
        <v>253</v>
      </c>
      <c r="H214" s="100" t="s">
        <v>172</v>
      </c>
      <c r="I214" s="101">
        <v>2276141.37</v>
      </c>
      <c r="J214" s="104"/>
    </row>
    <row r="215" spans="1:10" x14ac:dyDescent="0.3">
      <c r="A215" s="102"/>
      <c r="B215" s="103"/>
      <c r="D215" s="100" t="s">
        <v>208</v>
      </c>
      <c r="E215" s="105" t="s">
        <v>176</v>
      </c>
      <c r="F215" s="105" t="s">
        <v>254</v>
      </c>
      <c r="G215" s="105"/>
      <c r="H215" s="105" t="s">
        <v>172</v>
      </c>
      <c r="I215" s="106"/>
      <c r="J215" s="104"/>
    </row>
    <row r="216" spans="1:10" x14ac:dyDescent="0.3">
      <c r="A216" s="102"/>
      <c r="B216" s="103"/>
      <c r="D216" s="100" t="s">
        <v>239</v>
      </c>
      <c r="E216" s="105" t="s">
        <v>176</v>
      </c>
      <c r="F216" s="100" t="s">
        <v>255</v>
      </c>
      <c r="H216" s="100" t="s">
        <v>83</v>
      </c>
      <c r="I216" s="101">
        <v>1321985</v>
      </c>
      <c r="J216" s="104"/>
    </row>
    <row r="217" spans="1:10" x14ac:dyDescent="0.3">
      <c r="A217" s="102"/>
      <c r="B217" s="103"/>
      <c r="D217" s="100" t="s">
        <v>208</v>
      </c>
      <c r="E217" s="105" t="s">
        <v>176</v>
      </c>
      <c r="F217" s="100" t="s">
        <v>255</v>
      </c>
      <c r="H217" s="100" t="s">
        <v>172</v>
      </c>
      <c r="I217" s="101">
        <v>74146</v>
      </c>
      <c r="J217" s="104"/>
    </row>
    <row r="218" spans="1:10" x14ac:dyDescent="0.3">
      <c r="A218" s="102"/>
      <c r="B218" s="103"/>
      <c r="G218" s="101"/>
      <c r="J218" s="104"/>
    </row>
    <row r="219" spans="1:10" x14ac:dyDescent="0.3">
      <c r="A219" s="102"/>
      <c r="B219" s="103"/>
      <c r="J219" s="104"/>
    </row>
    <row r="220" spans="1:10" x14ac:dyDescent="0.3">
      <c r="A220" s="102"/>
      <c r="B220" s="103"/>
      <c r="J220" s="104"/>
    </row>
    <row r="221" spans="1:10" x14ac:dyDescent="0.3">
      <c r="A221" s="102"/>
      <c r="B221" s="103"/>
      <c r="J221" s="104"/>
    </row>
    <row r="222" spans="1:10" x14ac:dyDescent="0.3">
      <c r="A222" s="102"/>
      <c r="B222" s="103"/>
      <c r="J222" s="104"/>
    </row>
    <row r="223" spans="1:10" x14ac:dyDescent="0.3">
      <c r="A223" s="102"/>
      <c r="B223" s="103"/>
      <c r="J223" s="104"/>
    </row>
    <row r="224" spans="1:10" x14ac:dyDescent="0.3">
      <c r="A224" s="102"/>
      <c r="B224" s="103"/>
      <c r="J224" s="104"/>
    </row>
    <row r="225" spans="1:10" x14ac:dyDescent="0.3">
      <c r="A225" s="102"/>
      <c r="B225" s="103"/>
      <c r="J225" s="104"/>
    </row>
    <row r="226" spans="1:10" x14ac:dyDescent="0.3">
      <c r="A226" s="102"/>
      <c r="B226" s="103"/>
      <c r="J226" s="104"/>
    </row>
    <row r="227" spans="1:10" x14ac:dyDescent="0.3">
      <c r="A227" s="102"/>
      <c r="B227" s="103"/>
      <c r="J227" s="104"/>
    </row>
    <row r="228" spans="1:10" x14ac:dyDescent="0.3">
      <c r="A228" s="102"/>
      <c r="B228" s="103"/>
    </row>
    <row r="229" spans="1:10" x14ac:dyDescent="0.3">
      <c r="A229" s="102"/>
      <c r="B229" s="103"/>
    </row>
    <row r="230" spans="1:10" x14ac:dyDescent="0.3">
      <c r="A230" s="102"/>
      <c r="B230" s="103"/>
    </row>
    <row r="231" spans="1:10" x14ac:dyDescent="0.3">
      <c r="A231" s="102"/>
      <c r="B231" s="103"/>
    </row>
    <row r="232" spans="1:10" x14ac:dyDescent="0.3">
      <c r="A232" s="102"/>
      <c r="B232" s="103"/>
    </row>
    <row r="233" spans="1:10" x14ac:dyDescent="0.3">
      <c r="A233" s="102"/>
      <c r="B233" s="103"/>
    </row>
    <row r="234" spans="1:10" x14ac:dyDescent="0.3">
      <c r="A234" s="102"/>
      <c r="B234" s="103"/>
    </row>
    <row r="235" spans="1:10" x14ac:dyDescent="0.3">
      <c r="A235" s="102"/>
      <c r="B235" s="103"/>
    </row>
    <row r="236" spans="1:10" x14ac:dyDescent="0.3">
      <c r="A236" s="102"/>
      <c r="B236" s="103"/>
    </row>
    <row r="237" spans="1:10" x14ac:dyDescent="0.3">
      <c r="A237" s="102"/>
      <c r="B237" s="103"/>
    </row>
    <row r="238" spans="1:10" x14ac:dyDescent="0.3">
      <c r="A238" s="102"/>
      <c r="B238" s="103"/>
    </row>
    <row r="239" spans="1:10" x14ac:dyDescent="0.3">
      <c r="A239" s="102"/>
      <c r="B239" s="103"/>
    </row>
    <row r="240" spans="1:10" x14ac:dyDescent="0.3">
      <c r="A240" s="102"/>
      <c r="B240" s="103"/>
    </row>
    <row r="241" spans="1:2" x14ac:dyDescent="0.3">
      <c r="A241" s="102"/>
      <c r="B241" s="103"/>
    </row>
    <row r="242" spans="1:2" x14ac:dyDescent="0.3">
      <c r="A242" s="102"/>
      <c r="B242" s="103"/>
    </row>
    <row r="243" spans="1:2" x14ac:dyDescent="0.3">
      <c r="A243" s="102"/>
      <c r="B243" s="103"/>
    </row>
    <row r="244" spans="1:2" x14ac:dyDescent="0.3">
      <c r="A244" s="102"/>
      <c r="B244" s="103"/>
    </row>
    <row r="245" spans="1:2" x14ac:dyDescent="0.3">
      <c r="A245" s="102"/>
      <c r="B245" s="103"/>
    </row>
    <row r="246" spans="1:2" x14ac:dyDescent="0.3">
      <c r="A246" s="102"/>
      <c r="B246" s="103"/>
    </row>
    <row r="247" spans="1:2" x14ac:dyDescent="0.3">
      <c r="A247" s="102"/>
      <c r="B247" s="103"/>
    </row>
    <row r="248" spans="1:2" x14ac:dyDescent="0.3">
      <c r="A248" s="102"/>
      <c r="B248" s="103"/>
    </row>
    <row r="249" spans="1:2" x14ac:dyDescent="0.3">
      <c r="A249" s="102"/>
      <c r="B249" s="103"/>
    </row>
    <row r="250" spans="1:2" x14ac:dyDescent="0.3">
      <c r="A250" s="102"/>
      <c r="B250" s="103"/>
    </row>
    <row r="251" spans="1:2" x14ac:dyDescent="0.3">
      <c r="A251" s="102"/>
      <c r="B251" s="103"/>
    </row>
    <row r="252" spans="1:2" x14ac:dyDescent="0.3">
      <c r="A252" s="102"/>
      <c r="B252" s="103"/>
    </row>
    <row r="253" spans="1:2" x14ac:dyDescent="0.3">
      <c r="A253" s="102"/>
      <c r="B253" s="103"/>
    </row>
    <row r="254" spans="1:2" x14ac:dyDescent="0.3">
      <c r="A254" s="102"/>
      <c r="B254" s="103"/>
    </row>
    <row r="255" spans="1:2" x14ac:dyDescent="0.3">
      <c r="A255" s="102"/>
      <c r="B255" s="103"/>
    </row>
    <row r="256" spans="1:2" x14ac:dyDescent="0.3">
      <c r="A256" s="102"/>
      <c r="B256" s="103"/>
    </row>
    <row r="257" spans="1:2" x14ac:dyDescent="0.3">
      <c r="A257" s="102"/>
      <c r="B257" s="103"/>
    </row>
    <row r="258" spans="1:2" x14ac:dyDescent="0.3">
      <c r="A258" s="102"/>
      <c r="B258" s="103"/>
    </row>
    <row r="259" spans="1:2" x14ac:dyDescent="0.3">
      <c r="A259" s="102"/>
      <c r="B259" s="103"/>
    </row>
    <row r="260" spans="1:2" x14ac:dyDescent="0.3">
      <c r="A260" s="102"/>
      <c r="B260" s="103"/>
    </row>
    <row r="261" spans="1:2" x14ac:dyDescent="0.3">
      <c r="A261" s="102"/>
      <c r="B261" s="103"/>
    </row>
    <row r="262" spans="1:2" x14ac:dyDescent="0.3">
      <c r="A262" s="102"/>
      <c r="B262" s="103"/>
    </row>
    <row r="263" spans="1:2" x14ac:dyDescent="0.3">
      <c r="A263" s="102"/>
      <c r="B263" s="103"/>
    </row>
    <row r="264" spans="1:2" x14ac:dyDescent="0.3">
      <c r="A264" s="102"/>
      <c r="B264" s="103"/>
    </row>
    <row r="265" spans="1:2" x14ac:dyDescent="0.3">
      <c r="A265" s="102"/>
      <c r="B265" s="103"/>
    </row>
    <row r="266" spans="1:2" x14ac:dyDescent="0.3">
      <c r="A266" s="102"/>
      <c r="B266" s="103"/>
    </row>
    <row r="267" spans="1:2" x14ac:dyDescent="0.3">
      <c r="A267" s="102"/>
      <c r="B267" s="103"/>
    </row>
    <row r="268" spans="1:2" x14ac:dyDescent="0.3">
      <c r="A268" s="102"/>
      <c r="B268" s="103"/>
    </row>
    <row r="269" spans="1:2" x14ac:dyDescent="0.3">
      <c r="A269" s="102"/>
      <c r="B269" s="103"/>
    </row>
    <row r="270" spans="1:2" x14ac:dyDescent="0.3">
      <c r="A270" s="102"/>
      <c r="B270" s="103"/>
    </row>
    <row r="271" spans="1:2" x14ac:dyDescent="0.3">
      <c r="A271" s="102"/>
      <c r="B271" s="103"/>
    </row>
    <row r="272" spans="1:2" x14ac:dyDescent="0.3">
      <c r="A272" s="102"/>
      <c r="B272" s="103"/>
    </row>
    <row r="273" spans="1:2" x14ac:dyDescent="0.3">
      <c r="A273" s="102"/>
      <c r="B273" s="103"/>
    </row>
    <row r="274" spans="1:2" x14ac:dyDescent="0.3">
      <c r="A274" s="102"/>
      <c r="B274" s="103"/>
    </row>
    <row r="275" spans="1:2" x14ac:dyDescent="0.3">
      <c r="A275" s="102"/>
      <c r="B275" s="103"/>
    </row>
    <row r="276" spans="1:2" x14ac:dyDescent="0.3">
      <c r="A276" s="102"/>
      <c r="B276" s="103"/>
    </row>
    <row r="277" spans="1:2" x14ac:dyDescent="0.3">
      <c r="A277" s="102"/>
      <c r="B277" s="103"/>
    </row>
    <row r="278" spans="1:2" x14ac:dyDescent="0.3">
      <c r="A278" s="102"/>
      <c r="B278" s="103"/>
    </row>
    <row r="279" spans="1:2" x14ac:dyDescent="0.3">
      <c r="A279" s="102"/>
      <c r="B279" s="103"/>
    </row>
    <row r="280" spans="1:2" x14ac:dyDescent="0.3">
      <c r="A280" s="102"/>
      <c r="B280" s="103"/>
    </row>
    <row r="281" spans="1:2" x14ac:dyDescent="0.3">
      <c r="A281" s="102"/>
      <c r="B281" s="103"/>
    </row>
    <row r="282" spans="1:2" x14ac:dyDescent="0.3">
      <c r="A282" s="102"/>
      <c r="B282" s="103"/>
    </row>
    <row r="283" spans="1:2" x14ac:dyDescent="0.3">
      <c r="A283" s="102"/>
      <c r="B283" s="103"/>
    </row>
    <row r="284" spans="1:2" x14ac:dyDescent="0.3">
      <c r="A284" s="102"/>
      <c r="B284" s="103"/>
    </row>
    <row r="285" spans="1:2" x14ac:dyDescent="0.3">
      <c r="A285" s="102"/>
      <c r="B285" s="103"/>
    </row>
    <row r="286" spans="1:2" x14ac:dyDescent="0.3">
      <c r="A286" s="102"/>
      <c r="B286" s="103"/>
    </row>
    <row r="287" spans="1:2" x14ac:dyDescent="0.3">
      <c r="A287" s="102"/>
      <c r="B287" s="103"/>
    </row>
    <row r="288" spans="1:2" x14ac:dyDescent="0.3">
      <c r="A288" s="102"/>
      <c r="B288" s="103"/>
    </row>
    <row r="289" spans="1:2" x14ac:dyDescent="0.3">
      <c r="A289" s="102"/>
      <c r="B289" s="103"/>
    </row>
    <row r="290" spans="1:2" x14ac:dyDescent="0.3">
      <c r="A290" s="102"/>
      <c r="B290" s="103"/>
    </row>
    <row r="291" spans="1:2" x14ac:dyDescent="0.3">
      <c r="A291" s="102"/>
      <c r="B291" s="103"/>
    </row>
    <row r="292" spans="1:2" x14ac:dyDescent="0.3">
      <c r="A292" s="102"/>
      <c r="B292" s="103"/>
    </row>
    <row r="293" spans="1:2" x14ac:dyDescent="0.3">
      <c r="A293" s="102"/>
      <c r="B293" s="103"/>
    </row>
    <row r="294" spans="1:2" x14ac:dyDescent="0.3">
      <c r="A294" s="102"/>
      <c r="B294" s="103"/>
    </row>
    <row r="295" spans="1:2" x14ac:dyDescent="0.3">
      <c r="A295" s="102"/>
      <c r="B295" s="103"/>
    </row>
    <row r="296" spans="1:2" x14ac:dyDescent="0.3">
      <c r="A296" s="102"/>
      <c r="B296" s="103"/>
    </row>
    <row r="297" spans="1:2" x14ac:dyDescent="0.3">
      <c r="A297" s="102"/>
      <c r="B297" s="103"/>
    </row>
    <row r="298" spans="1:2" x14ac:dyDescent="0.3">
      <c r="A298" s="102"/>
      <c r="B298" s="103"/>
    </row>
    <row r="299" spans="1:2" x14ac:dyDescent="0.3">
      <c r="A299" s="102"/>
      <c r="B299" s="103"/>
    </row>
    <row r="300" spans="1:2" x14ac:dyDescent="0.3">
      <c r="A300" s="102"/>
      <c r="B300" s="103"/>
    </row>
    <row r="301" spans="1:2" x14ac:dyDescent="0.3">
      <c r="A301" s="102"/>
      <c r="B301" s="103"/>
    </row>
    <row r="302" spans="1:2" x14ac:dyDescent="0.3">
      <c r="A302" s="102"/>
      <c r="B302" s="103"/>
    </row>
    <row r="303" spans="1:2" x14ac:dyDescent="0.3">
      <c r="A303" s="102"/>
      <c r="B303" s="103"/>
    </row>
    <row r="304" spans="1:2" x14ac:dyDescent="0.3">
      <c r="A304" s="102"/>
      <c r="B304" s="103"/>
    </row>
    <row r="305" spans="1:2" x14ac:dyDescent="0.3">
      <c r="A305" s="102"/>
      <c r="B305" s="103"/>
    </row>
    <row r="306" spans="1:2" x14ac:dyDescent="0.3">
      <c r="A306" s="102"/>
      <c r="B306" s="103"/>
    </row>
    <row r="307" spans="1:2" x14ac:dyDescent="0.3">
      <c r="A307" s="102"/>
      <c r="B307" s="103"/>
    </row>
    <row r="308" spans="1:2" x14ac:dyDescent="0.3">
      <c r="A308" s="102"/>
      <c r="B308" s="103"/>
    </row>
    <row r="309" spans="1:2" x14ac:dyDescent="0.3">
      <c r="A309" s="102"/>
      <c r="B309" s="103"/>
    </row>
    <row r="310" spans="1:2" x14ac:dyDescent="0.3">
      <c r="A310" s="102"/>
      <c r="B310" s="103"/>
    </row>
    <row r="311" spans="1:2" x14ac:dyDescent="0.3">
      <c r="A311" s="102"/>
      <c r="B311" s="103"/>
    </row>
    <row r="312" spans="1:2" x14ac:dyDescent="0.3">
      <c r="A312" s="102"/>
      <c r="B312" s="103"/>
    </row>
    <row r="313" spans="1:2" x14ac:dyDescent="0.3">
      <c r="A313" s="102"/>
      <c r="B313" s="103"/>
    </row>
    <row r="314" spans="1:2" x14ac:dyDescent="0.3">
      <c r="A314" s="102"/>
      <c r="B314" s="103"/>
    </row>
    <row r="315" spans="1:2" x14ac:dyDescent="0.3">
      <c r="A315" s="102"/>
      <c r="B315" s="103"/>
    </row>
    <row r="316" spans="1:2" x14ac:dyDescent="0.3">
      <c r="A316" s="102"/>
      <c r="B316" s="103"/>
    </row>
    <row r="317" spans="1:2" x14ac:dyDescent="0.3">
      <c r="A317" s="102"/>
      <c r="B317" s="103"/>
    </row>
    <row r="318" spans="1:2" x14ac:dyDescent="0.3">
      <c r="A318" s="102"/>
      <c r="B318" s="103"/>
    </row>
    <row r="319" spans="1:2" x14ac:dyDescent="0.3">
      <c r="A319" s="102"/>
      <c r="B319" s="103"/>
    </row>
    <row r="320" spans="1:2" x14ac:dyDescent="0.3">
      <c r="A320" s="102"/>
      <c r="B320" s="103"/>
    </row>
    <row r="321" spans="1:2" x14ac:dyDescent="0.3">
      <c r="A321" s="102"/>
      <c r="B321" s="103"/>
    </row>
    <row r="322" spans="1:2" x14ac:dyDescent="0.3">
      <c r="A322" s="102"/>
      <c r="B322" s="103"/>
    </row>
    <row r="323" spans="1:2" x14ac:dyDescent="0.3">
      <c r="A323" s="102"/>
      <c r="B323" s="103"/>
    </row>
    <row r="324" spans="1:2" x14ac:dyDescent="0.3">
      <c r="A324" s="102"/>
      <c r="B324" s="103"/>
    </row>
    <row r="325" spans="1:2" x14ac:dyDescent="0.3">
      <c r="A325" s="102"/>
      <c r="B325" s="103"/>
    </row>
    <row r="326" spans="1:2" x14ac:dyDescent="0.3">
      <c r="A326" s="102"/>
      <c r="B326" s="103"/>
    </row>
    <row r="327" spans="1:2" x14ac:dyDescent="0.3">
      <c r="A327" s="102"/>
      <c r="B327" s="103"/>
    </row>
    <row r="328" spans="1:2" x14ac:dyDescent="0.3">
      <c r="A328" s="102"/>
      <c r="B328" s="103"/>
    </row>
    <row r="329" spans="1:2" x14ac:dyDescent="0.3">
      <c r="A329" s="102"/>
      <c r="B329" s="103"/>
    </row>
    <row r="330" spans="1:2" x14ac:dyDescent="0.3">
      <c r="A330" s="102"/>
      <c r="B330" s="103"/>
    </row>
    <row r="331" spans="1:2" x14ac:dyDescent="0.3">
      <c r="A331" s="102"/>
      <c r="B331" s="103"/>
    </row>
    <row r="332" spans="1:2" x14ac:dyDescent="0.3">
      <c r="A332" s="102"/>
      <c r="B332" s="103"/>
    </row>
    <row r="333" spans="1:2" x14ac:dyDescent="0.3">
      <c r="A333" s="102"/>
      <c r="B333" s="103"/>
    </row>
    <row r="334" spans="1:2" x14ac:dyDescent="0.3">
      <c r="A334" s="102"/>
      <c r="B334" s="103"/>
    </row>
    <row r="335" spans="1:2" x14ac:dyDescent="0.3">
      <c r="A335" s="102"/>
      <c r="B335" s="103"/>
    </row>
    <row r="336" spans="1:2" x14ac:dyDescent="0.3">
      <c r="A336" s="102"/>
      <c r="B336" s="103"/>
    </row>
    <row r="337" spans="1:2" x14ac:dyDescent="0.3">
      <c r="A337" s="102"/>
      <c r="B337" s="103"/>
    </row>
    <row r="338" spans="1:2" x14ac:dyDescent="0.3">
      <c r="A338" s="102"/>
      <c r="B338" s="103"/>
    </row>
    <row r="339" spans="1:2" x14ac:dyDescent="0.3">
      <c r="A339" s="102"/>
      <c r="B339" s="103"/>
    </row>
    <row r="340" spans="1:2" x14ac:dyDescent="0.3">
      <c r="A340" s="102"/>
      <c r="B340" s="103"/>
    </row>
    <row r="341" spans="1:2" x14ac:dyDescent="0.3">
      <c r="A341" s="102"/>
      <c r="B341" s="103"/>
    </row>
    <row r="342" spans="1:2" x14ac:dyDescent="0.3">
      <c r="A342" s="102"/>
      <c r="B342" s="103"/>
    </row>
    <row r="343" spans="1:2" x14ac:dyDescent="0.3">
      <c r="A343" s="102"/>
      <c r="B343" s="103"/>
    </row>
    <row r="344" spans="1:2" x14ac:dyDescent="0.3">
      <c r="A344" s="102"/>
      <c r="B344" s="103"/>
    </row>
    <row r="345" spans="1:2" x14ac:dyDescent="0.3">
      <c r="A345" s="102"/>
      <c r="B345" s="103"/>
    </row>
    <row r="346" spans="1:2" x14ac:dyDescent="0.3">
      <c r="A346" s="102"/>
      <c r="B346" s="103"/>
    </row>
    <row r="347" spans="1:2" x14ac:dyDescent="0.3">
      <c r="A347" s="102"/>
      <c r="B347" s="103"/>
    </row>
    <row r="348" spans="1:2" x14ac:dyDescent="0.3">
      <c r="A348" s="102"/>
      <c r="B348" s="103"/>
    </row>
    <row r="349" spans="1:2" x14ac:dyDescent="0.3">
      <c r="A349" s="102"/>
      <c r="B349" s="103"/>
    </row>
    <row r="350" spans="1:2" x14ac:dyDescent="0.3">
      <c r="A350" s="102"/>
      <c r="B350" s="103"/>
    </row>
    <row r="351" spans="1:2" x14ac:dyDescent="0.3">
      <c r="A351" s="102"/>
      <c r="B351" s="103"/>
    </row>
    <row r="352" spans="1:2" x14ac:dyDescent="0.3">
      <c r="A352" s="102"/>
      <c r="B352" s="103"/>
    </row>
    <row r="353" spans="1:2" x14ac:dyDescent="0.3">
      <c r="A353" s="102"/>
      <c r="B353" s="103"/>
    </row>
    <row r="354" spans="1:2" x14ac:dyDescent="0.3">
      <c r="A354" s="102"/>
      <c r="B354" s="103"/>
    </row>
    <row r="355" spans="1:2" x14ac:dyDescent="0.3">
      <c r="A355" s="102"/>
      <c r="B355" s="103"/>
    </row>
    <row r="356" spans="1:2" x14ac:dyDescent="0.3">
      <c r="A356" s="102"/>
      <c r="B356" s="103"/>
    </row>
    <row r="357" spans="1:2" x14ac:dyDescent="0.3">
      <c r="A357" s="102"/>
      <c r="B357" s="103"/>
    </row>
    <row r="358" spans="1:2" x14ac:dyDescent="0.3">
      <c r="A358" s="102"/>
      <c r="B358" s="103"/>
    </row>
    <row r="359" spans="1:2" x14ac:dyDescent="0.3">
      <c r="A359" s="102"/>
      <c r="B359" s="103"/>
    </row>
    <row r="360" spans="1:2" x14ac:dyDescent="0.3">
      <c r="A360" s="102"/>
      <c r="B360" s="103"/>
    </row>
    <row r="361" spans="1:2" x14ac:dyDescent="0.3">
      <c r="A361" s="102"/>
      <c r="B361" s="103"/>
    </row>
    <row r="362" spans="1:2" x14ac:dyDescent="0.3">
      <c r="A362" s="102"/>
      <c r="B362" s="103"/>
    </row>
    <row r="363" spans="1:2" x14ac:dyDescent="0.3">
      <c r="A363" s="102"/>
      <c r="B363" s="103"/>
    </row>
    <row r="364" spans="1:2" x14ac:dyDescent="0.3">
      <c r="A364" s="102"/>
      <c r="B364" s="103"/>
    </row>
    <row r="365" spans="1:2" x14ac:dyDescent="0.3">
      <c r="A365" s="102"/>
      <c r="B365" s="103"/>
    </row>
    <row r="366" spans="1:2" x14ac:dyDescent="0.3">
      <c r="A366" s="102"/>
      <c r="B366" s="103"/>
    </row>
    <row r="367" spans="1:2" x14ac:dyDescent="0.3">
      <c r="A367" s="102"/>
      <c r="B367" s="103"/>
    </row>
    <row r="368" spans="1:2" x14ac:dyDescent="0.3">
      <c r="A368" s="102"/>
      <c r="B368" s="103"/>
    </row>
    <row r="369" spans="1:2" x14ac:dyDescent="0.3">
      <c r="A369" s="102"/>
      <c r="B369" s="103"/>
    </row>
    <row r="370" spans="1:2" x14ac:dyDescent="0.3">
      <c r="A370" s="102"/>
      <c r="B370" s="103"/>
    </row>
    <row r="371" spans="1:2" x14ac:dyDescent="0.3">
      <c r="A371" s="102"/>
      <c r="B371" s="103"/>
    </row>
    <row r="372" spans="1:2" x14ac:dyDescent="0.3">
      <c r="A372" s="102"/>
      <c r="B372" s="103"/>
    </row>
    <row r="373" spans="1:2" x14ac:dyDescent="0.3">
      <c r="A373" s="102"/>
      <c r="B373" s="103"/>
    </row>
    <row r="374" spans="1:2" x14ac:dyDescent="0.3">
      <c r="A374" s="102"/>
      <c r="B374" s="103"/>
    </row>
    <row r="375" spans="1:2" x14ac:dyDescent="0.3">
      <c r="A375" s="102"/>
      <c r="B375" s="103"/>
    </row>
    <row r="376" spans="1:2" x14ac:dyDescent="0.3">
      <c r="A376" s="102"/>
      <c r="B376" s="103"/>
    </row>
    <row r="377" spans="1:2" x14ac:dyDescent="0.3">
      <c r="A377" s="102"/>
      <c r="B377" s="103"/>
    </row>
    <row r="378" spans="1:2" x14ac:dyDescent="0.3">
      <c r="A378" s="102"/>
      <c r="B378" s="103"/>
    </row>
    <row r="379" spans="1:2" x14ac:dyDescent="0.3">
      <c r="A379" s="102"/>
      <c r="B379" s="103"/>
    </row>
    <row r="380" spans="1:2" x14ac:dyDescent="0.3">
      <c r="A380" s="102"/>
      <c r="B380" s="103"/>
    </row>
    <row r="381" spans="1:2" x14ac:dyDescent="0.3">
      <c r="A381" s="102"/>
      <c r="B381" s="103"/>
    </row>
    <row r="382" spans="1:2" x14ac:dyDescent="0.3">
      <c r="A382" s="102"/>
      <c r="B382" s="103"/>
    </row>
    <row r="383" spans="1:2" x14ac:dyDescent="0.3">
      <c r="A383" s="102"/>
      <c r="B383" s="103"/>
    </row>
    <row r="384" spans="1:2" x14ac:dyDescent="0.3">
      <c r="A384" s="102"/>
      <c r="B384" s="103"/>
    </row>
    <row r="385" spans="1:2" x14ac:dyDescent="0.3">
      <c r="A385" s="102"/>
      <c r="B385" s="103"/>
    </row>
    <row r="386" spans="1:2" x14ac:dyDescent="0.3">
      <c r="A386" s="102"/>
      <c r="B386" s="103"/>
    </row>
    <row r="387" spans="1:2" x14ac:dyDescent="0.3">
      <c r="A387" s="102"/>
      <c r="B387" s="103"/>
    </row>
    <row r="388" spans="1:2" x14ac:dyDescent="0.3">
      <c r="A388" s="102"/>
      <c r="B388" s="103"/>
    </row>
    <row r="389" spans="1:2" x14ac:dyDescent="0.3">
      <c r="A389" s="102"/>
      <c r="B389" s="103"/>
    </row>
    <row r="390" spans="1:2" x14ac:dyDescent="0.3">
      <c r="A390" s="102"/>
      <c r="B390" s="103"/>
    </row>
    <row r="391" spans="1:2" x14ac:dyDescent="0.3">
      <c r="A391" s="102"/>
      <c r="B391" s="103"/>
    </row>
    <row r="392" spans="1:2" x14ac:dyDescent="0.3">
      <c r="A392" s="102"/>
      <c r="B392" s="103"/>
    </row>
    <row r="393" spans="1:2" x14ac:dyDescent="0.3">
      <c r="A393" s="102"/>
      <c r="B393" s="103"/>
    </row>
    <row r="394" spans="1:2" x14ac:dyDescent="0.3">
      <c r="A394" s="102"/>
      <c r="B394" s="103"/>
    </row>
    <row r="395" spans="1:2" x14ac:dyDescent="0.3">
      <c r="A395" s="102"/>
      <c r="B395" s="103"/>
    </row>
    <row r="396" spans="1:2" x14ac:dyDescent="0.3">
      <c r="A396" s="102"/>
      <c r="B396" s="103"/>
    </row>
    <row r="397" spans="1:2" x14ac:dyDescent="0.3">
      <c r="A397" s="102"/>
      <c r="B397" s="103"/>
    </row>
    <row r="398" spans="1:2" x14ac:dyDescent="0.3">
      <c r="A398" s="102"/>
      <c r="B398" s="103"/>
    </row>
    <row r="399" spans="1:2" x14ac:dyDescent="0.3">
      <c r="A399" s="102"/>
      <c r="B399" s="103"/>
    </row>
    <row r="400" spans="1:2" x14ac:dyDescent="0.3">
      <c r="A400" s="102"/>
      <c r="B400" s="103"/>
    </row>
    <row r="401" spans="1:2" x14ac:dyDescent="0.3">
      <c r="A401" s="102"/>
      <c r="B401" s="103"/>
    </row>
    <row r="402" spans="1:2" x14ac:dyDescent="0.3">
      <c r="A402" s="102"/>
      <c r="B402" s="103"/>
    </row>
    <row r="403" spans="1:2" x14ac:dyDescent="0.3">
      <c r="A403" s="102"/>
      <c r="B403" s="103"/>
    </row>
    <row r="404" spans="1:2" x14ac:dyDescent="0.3">
      <c r="A404" s="102"/>
      <c r="B404" s="103"/>
    </row>
    <row r="405" spans="1:2" x14ac:dyDescent="0.3">
      <c r="A405" s="102"/>
      <c r="B405" s="103"/>
    </row>
    <row r="406" spans="1:2" x14ac:dyDescent="0.3">
      <c r="A406" s="102"/>
      <c r="B406" s="103"/>
    </row>
    <row r="407" spans="1:2" x14ac:dyDescent="0.3">
      <c r="A407" s="102"/>
      <c r="B407" s="103"/>
    </row>
    <row r="408" spans="1:2" x14ac:dyDescent="0.3">
      <c r="A408" s="102"/>
      <c r="B408" s="103"/>
    </row>
    <row r="409" spans="1:2" x14ac:dyDescent="0.3">
      <c r="A409" s="102"/>
      <c r="B409" s="103"/>
    </row>
    <row r="410" spans="1:2" x14ac:dyDescent="0.3">
      <c r="A410" s="102"/>
      <c r="B410" s="103"/>
    </row>
    <row r="411" spans="1:2" x14ac:dyDescent="0.3">
      <c r="A411" s="102"/>
      <c r="B411" s="103"/>
    </row>
    <row r="412" spans="1:2" x14ac:dyDescent="0.3">
      <c r="A412" s="102"/>
      <c r="B412" s="103"/>
    </row>
    <row r="413" spans="1:2" x14ac:dyDescent="0.3">
      <c r="A413" s="102"/>
      <c r="B413" s="103"/>
    </row>
    <row r="414" spans="1:2" x14ac:dyDescent="0.3">
      <c r="A414" s="102"/>
      <c r="B414" s="103"/>
    </row>
    <row r="415" spans="1:2" x14ac:dyDescent="0.3">
      <c r="A415" s="102"/>
      <c r="B415" s="103"/>
    </row>
    <row r="416" spans="1:2" x14ac:dyDescent="0.3">
      <c r="A416" s="102"/>
      <c r="B416" s="103"/>
    </row>
    <row r="417" spans="1:2" x14ac:dyDescent="0.3">
      <c r="A417" s="102"/>
      <c r="B417" s="103"/>
    </row>
    <row r="418" spans="1:2" x14ac:dyDescent="0.3">
      <c r="A418" s="102"/>
      <c r="B418" s="103"/>
    </row>
    <row r="419" spans="1:2" x14ac:dyDescent="0.3">
      <c r="A419" s="102"/>
      <c r="B419" s="103"/>
    </row>
    <row r="420" spans="1:2" x14ac:dyDescent="0.3">
      <c r="A420" s="102"/>
      <c r="B420" s="103"/>
    </row>
    <row r="421" spans="1:2" x14ac:dyDescent="0.3">
      <c r="A421" s="102"/>
      <c r="B421" s="103"/>
    </row>
    <row r="422" spans="1:2" x14ac:dyDescent="0.3">
      <c r="A422" s="102"/>
      <c r="B422" s="103"/>
    </row>
    <row r="423" spans="1:2" x14ac:dyDescent="0.3">
      <c r="A423" s="102"/>
      <c r="B423" s="103"/>
    </row>
    <row r="424" spans="1:2" x14ac:dyDescent="0.3">
      <c r="A424" s="102"/>
      <c r="B424" s="103"/>
    </row>
    <row r="425" spans="1:2" x14ac:dyDescent="0.3">
      <c r="A425" s="102"/>
      <c r="B425" s="103"/>
    </row>
    <row r="426" spans="1:2" x14ac:dyDescent="0.3">
      <c r="A426" s="102"/>
      <c r="B426" s="103"/>
    </row>
    <row r="427" spans="1:2" x14ac:dyDescent="0.3">
      <c r="A427" s="102"/>
      <c r="B427" s="103"/>
    </row>
    <row r="428" spans="1:2" x14ac:dyDescent="0.3">
      <c r="A428" s="102"/>
      <c r="B428" s="103"/>
    </row>
    <row r="429" spans="1:2" x14ac:dyDescent="0.3">
      <c r="A429" s="102"/>
      <c r="B429" s="103"/>
    </row>
    <row r="430" spans="1:2" x14ac:dyDescent="0.3">
      <c r="A430" s="102"/>
      <c r="B430" s="103"/>
    </row>
    <row r="431" spans="1:2" x14ac:dyDescent="0.3">
      <c r="A431" s="102"/>
      <c r="B431" s="103"/>
    </row>
    <row r="432" spans="1:2" x14ac:dyDescent="0.3">
      <c r="A432" s="102"/>
      <c r="B432" s="103"/>
    </row>
    <row r="433" spans="1:2" x14ac:dyDescent="0.3">
      <c r="A433" s="102"/>
      <c r="B433" s="103"/>
    </row>
    <row r="434" spans="1:2" x14ac:dyDescent="0.3">
      <c r="A434" s="102"/>
      <c r="B434" s="103"/>
    </row>
    <row r="435" spans="1:2" x14ac:dyDescent="0.3">
      <c r="A435" s="102"/>
      <c r="B435" s="103"/>
    </row>
    <row r="436" spans="1:2" x14ac:dyDescent="0.3">
      <c r="A436" s="102"/>
      <c r="B436" s="103"/>
    </row>
    <row r="437" spans="1:2" x14ac:dyDescent="0.3">
      <c r="A437" s="102"/>
      <c r="B437" s="103"/>
    </row>
    <row r="438" spans="1:2" x14ac:dyDescent="0.3">
      <c r="A438" s="102"/>
      <c r="B438" s="103"/>
    </row>
    <row r="439" spans="1:2" x14ac:dyDescent="0.3">
      <c r="A439" s="102"/>
      <c r="B439" s="103"/>
    </row>
    <row r="440" spans="1:2" x14ac:dyDescent="0.3">
      <c r="A440" s="102"/>
      <c r="B440" s="103"/>
    </row>
    <row r="441" spans="1:2" x14ac:dyDescent="0.3">
      <c r="A441" s="102"/>
      <c r="B441" s="103"/>
    </row>
    <row r="442" spans="1:2" x14ac:dyDescent="0.3">
      <c r="A442" s="102"/>
      <c r="B442" s="103"/>
    </row>
    <row r="443" spans="1:2" x14ac:dyDescent="0.3">
      <c r="A443" s="102"/>
      <c r="B443" s="103"/>
    </row>
    <row r="444" spans="1:2" x14ac:dyDescent="0.3">
      <c r="A444" s="102"/>
      <c r="B444" s="103"/>
    </row>
    <row r="445" spans="1:2" x14ac:dyDescent="0.3">
      <c r="A445" s="102"/>
      <c r="B445" s="103"/>
    </row>
    <row r="446" spans="1:2" x14ac:dyDescent="0.3">
      <c r="A446" s="102"/>
      <c r="B446" s="103"/>
    </row>
    <row r="447" spans="1:2" x14ac:dyDescent="0.3">
      <c r="A447" s="102"/>
      <c r="B447" s="103"/>
    </row>
    <row r="448" spans="1:2" x14ac:dyDescent="0.3">
      <c r="A448" s="102"/>
      <c r="B448" s="103"/>
    </row>
    <row r="449" spans="1:2" x14ac:dyDescent="0.3">
      <c r="A449" s="102"/>
      <c r="B449" s="103"/>
    </row>
    <row r="450" spans="1:2" x14ac:dyDescent="0.3">
      <c r="A450" s="102"/>
      <c r="B450" s="103"/>
    </row>
    <row r="451" spans="1:2" x14ac:dyDescent="0.3">
      <c r="A451" s="102"/>
      <c r="B451" s="103"/>
    </row>
    <row r="452" spans="1:2" x14ac:dyDescent="0.3">
      <c r="A452" s="102"/>
      <c r="B452" s="103"/>
    </row>
    <row r="453" spans="1:2" x14ac:dyDescent="0.3">
      <c r="A453" s="102"/>
      <c r="B453" s="103"/>
    </row>
    <row r="454" spans="1:2" x14ac:dyDescent="0.3">
      <c r="A454" s="102"/>
      <c r="B454" s="103"/>
    </row>
    <row r="455" spans="1:2" x14ac:dyDescent="0.3">
      <c r="A455" s="102"/>
      <c r="B455" s="103"/>
    </row>
    <row r="456" spans="1:2" x14ac:dyDescent="0.3">
      <c r="A456" s="102"/>
      <c r="B456" s="103"/>
    </row>
    <row r="457" spans="1:2" x14ac:dyDescent="0.3">
      <c r="A457" s="102"/>
      <c r="B457" s="103"/>
    </row>
    <row r="458" spans="1:2" x14ac:dyDescent="0.3">
      <c r="A458" s="102"/>
      <c r="B458" s="103"/>
    </row>
    <row r="459" spans="1:2" x14ac:dyDescent="0.3">
      <c r="A459" s="102"/>
      <c r="B459" s="103"/>
    </row>
    <row r="460" spans="1:2" x14ac:dyDescent="0.3">
      <c r="A460" s="102"/>
      <c r="B460" s="103"/>
    </row>
    <row r="461" spans="1:2" x14ac:dyDescent="0.3">
      <c r="A461" s="102"/>
      <c r="B461" s="103"/>
    </row>
    <row r="462" spans="1:2" x14ac:dyDescent="0.3">
      <c r="A462" s="102"/>
      <c r="B462" s="103"/>
    </row>
    <row r="463" spans="1:2" x14ac:dyDescent="0.3">
      <c r="A463" s="102"/>
      <c r="B463" s="103"/>
    </row>
    <row r="464" spans="1:2" x14ac:dyDescent="0.3">
      <c r="A464" s="102"/>
      <c r="B464" s="103"/>
    </row>
    <row r="465" spans="1:2" x14ac:dyDescent="0.3">
      <c r="A465" s="102"/>
      <c r="B465" s="103"/>
    </row>
    <row r="466" spans="1:2" x14ac:dyDescent="0.3">
      <c r="A466" s="102"/>
      <c r="B466" s="103"/>
    </row>
    <row r="467" spans="1:2" x14ac:dyDescent="0.3">
      <c r="A467" s="102"/>
      <c r="B467" s="103"/>
    </row>
    <row r="468" spans="1:2" x14ac:dyDescent="0.3">
      <c r="A468" s="102"/>
      <c r="B468" s="103"/>
    </row>
    <row r="469" spans="1:2" x14ac:dyDescent="0.3">
      <c r="A469" s="102"/>
      <c r="B469" s="103"/>
    </row>
    <row r="470" spans="1:2" x14ac:dyDescent="0.3">
      <c r="A470" s="102"/>
      <c r="B470" s="103"/>
    </row>
    <row r="471" spans="1:2" x14ac:dyDescent="0.3">
      <c r="A471" s="102"/>
      <c r="B471" s="103"/>
    </row>
    <row r="472" spans="1:2" x14ac:dyDescent="0.3">
      <c r="A472" s="102"/>
      <c r="B472" s="103"/>
    </row>
    <row r="473" spans="1:2" x14ac:dyDescent="0.3">
      <c r="A473" s="102"/>
      <c r="B473" s="103"/>
    </row>
    <row r="474" spans="1:2" x14ac:dyDescent="0.3">
      <c r="A474" s="102"/>
      <c r="B474" s="103"/>
    </row>
    <row r="475" spans="1:2" x14ac:dyDescent="0.3">
      <c r="A475" s="102"/>
      <c r="B475" s="103"/>
    </row>
    <row r="476" spans="1:2" x14ac:dyDescent="0.3">
      <c r="A476" s="102"/>
      <c r="B476" s="103"/>
    </row>
    <row r="477" spans="1:2" x14ac:dyDescent="0.3">
      <c r="A477" s="102"/>
      <c r="B477" s="103"/>
    </row>
    <row r="478" spans="1:2" x14ac:dyDescent="0.3">
      <c r="A478" s="102"/>
      <c r="B478" s="103"/>
    </row>
    <row r="479" spans="1:2" x14ac:dyDescent="0.3">
      <c r="A479" s="102"/>
      <c r="B479" s="103"/>
    </row>
    <row r="480" spans="1:2" x14ac:dyDescent="0.3">
      <c r="A480" s="102"/>
      <c r="B480" s="103"/>
    </row>
    <row r="481" spans="1:2" x14ac:dyDescent="0.3">
      <c r="A481" s="102"/>
      <c r="B481" s="103"/>
    </row>
    <row r="482" spans="1:2" x14ac:dyDescent="0.3">
      <c r="A482" s="102"/>
      <c r="B482" s="103"/>
    </row>
    <row r="483" spans="1:2" x14ac:dyDescent="0.3">
      <c r="A483" s="102"/>
      <c r="B483" s="103"/>
    </row>
    <row r="484" spans="1:2" x14ac:dyDescent="0.3">
      <c r="A484" s="102"/>
      <c r="B484" s="103"/>
    </row>
    <row r="485" spans="1:2" x14ac:dyDescent="0.3">
      <c r="A485" s="102"/>
      <c r="B485" s="103"/>
    </row>
    <row r="486" spans="1:2" x14ac:dyDescent="0.3">
      <c r="A486" s="102"/>
      <c r="B486" s="103"/>
    </row>
    <row r="487" spans="1:2" x14ac:dyDescent="0.3">
      <c r="A487" s="102"/>
      <c r="B487" s="103"/>
    </row>
    <row r="488" spans="1:2" x14ac:dyDescent="0.3">
      <c r="A488" s="102"/>
      <c r="B488" s="103"/>
    </row>
    <row r="489" spans="1:2" x14ac:dyDescent="0.3">
      <c r="A489" s="102"/>
      <c r="B489" s="103"/>
    </row>
    <row r="490" spans="1:2" x14ac:dyDescent="0.3">
      <c r="A490" s="102"/>
      <c r="B490" s="103"/>
    </row>
    <row r="491" spans="1:2" x14ac:dyDescent="0.3">
      <c r="A491" s="102"/>
      <c r="B491" s="103"/>
    </row>
    <row r="492" spans="1:2" x14ac:dyDescent="0.3">
      <c r="A492" s="102"/>
      <c r="B492" s="103"/>
    </row>
    <row r="493" spans="1:2" x14ac:dyDescent="0.3">
      <c r="A493" s="102"/>
      <c r="B493" s="103"/>
    </row>
    <row r="494" spans="1:2" x14ac:dyDescent="0.3">
      <c r="A494" s="102"/>
      <c r="B494" s="103"/>
    </row>
    <row r="495" spans="1:2" x14ac:dyDescent="0.3">
      <c r="A495" s="102"/>
      <c r="B495" s="103"/>
    </row>
    <row r="496" spans="1:2" x14ac:dyDescent="0.3">
      <c r="A496" s="102"/>
      <c r="B496" s="103"/>
    </row>
    <row r="497" spans="1:2" x14ac:dyDescent="0.3">
      <c r="A497" s="102"/>
      <c r="B497" s="103"/>
    </row>
    <row r="498" spans="1:2" x14ac:dyDescent="0.3">
      <c r="A498" s="102"/>
      <c r="B498" s="103"/>
    </row>
    <row r="499" spans="1:2" x14ac:dyDescent="0.3">
      <c r="A499" s="102"/>
      <c r="B499" s="103"/>
    </row>
    <row r="500" spans="1:2" x14ac:dyDescent="0.3">
      <c r="A500" s="102"/>
      <c r="B500" s="103"/>
    </row>
    <row r="501" spans="1:2" x14ac:dyDescent="0.3">
      <c r="A501" s="102"/>
      <c r="B501" s="103"/>
    </row>
    <row r="502" spans="1:2" x14ac:dyDescent="0.3">
      <c r="A502" s="102"/>
      <c r="B502" s="103"/>
    </row>
    <row r="503" spans="1:2" x14ac:dyDescent="0.3">
      <c r="A503" s="102"/>
      <c r="B503" s="103"/>
    </row>
    <row r="504" spans="1:2" x14ac:dyDescent="0.3">
      <c r="A504" s="102"/>
      <c r="B504" s="103"/>
    </row>
    <row r="505" spans="1:2" x14ac:dyDescent="0.3">
      <c r="A505" s="102"/>
      <c r="B505" s="103"/>
    </row>
    <row r="506" spans="1:2" x14ac:dyDescent="0.3">
      <c r="A506" s="102"/>
      <c r="B506" s="103"/>
    </row>
    <row r="507" spans="1:2" x14ac:dyDescent="0.3">
      <c r="A507" s="102"/>
      <c r="B507" s="103"/>
    </row>
    <row r="508" spans="1:2" x14ac:dyDescent="0.3">
      <c r="A508" s="102"/>
      <c r="B508" s="103"/>
    </row>
    <row r="509" spans="1:2" x14ac:dyDescent="0.3">
      <c r="A509" s="102"/>
      <c r="B509" s="103"/>
    </row>
    <row r="510" spans="1:2" x14ac:dyDescent="0.3">
      <c r="A510" s="102"/>
      <c r="B510" s="103"/>
    </row>
    <row r="511" spans="1:2" x14ac:dyDescent="0.3">
      <c r="A511" s="102"/>
      <c r="B511" s="103"/>
    </row>
    <row r="512" spans="1:2" x14ac:dyDescent="0.3">
      <c r="A512" s="102"/>
      <c r="B512" s="103"/>
    </row>
    <row r="513" spans="1:2" x14ac:dyDescent="0.3">
      <c r="A513" s="102"/>
      <c r="B513" s="103"/>
    </row>
    <row r="514" spans="1:2" x14ac:dyDescent="0.3">
      <c r="A514" s="102"/>
      <c r="B514" s="103"/>
    </row>
    <row r="515" spans="1:2" x14ac:dyDescent="0.3">
      <c r="A515" s="102"/>
      <c r="B515" s="103"/>
    </row>
    <row r="516" spans="1:2" x14ac:dyDescent="0.3">
      <c r="A516" s="102"/>
      <c r="B516" s="103"/>
    </row>
    <row r="517" spans="1:2" x14ac:dyDescent="0.3">
      <c r="A517" s="102"/>
      <c r="B517" s="103"/>
    </row>
    <row r="518" spans="1:2" x14ac:dyDescent="0.3">
      <c r="A518" s="102"/>
      <c r="B518" s="103"/>
    </row>
    <row r="519" spans="1:2" x14ac:dyDescent="0.3">
      <c r="A519" s="102"/>
      <c r="B519" s="103"/>
    </row>
    <row r="520" spans="1:2" x14ac:dyDescent="0.3">
      <c r="A520" s="102"/>
      <c r="B520" s="103"/>
    </row>
    <row r="521" spans="1:2" x14ac:dyDescent="0.3">
      <c r="A521" s="102"/>
      <c r="B521" s="103"/>
    </row>
    <row r="522" spans="1:2" x14ac:dyDescent="0.3">
      <c r="A522" s="102"/>
      <c r="B522" s="103"/>
    </row>
    <row r="523" spans="1:2" x14ac:dyDescent="0.3">
      <c r="A523" s="102"/>
      <c r="B523" s="103"/>
    </row>
    <row r="524" spans="1:2" x14ac:dyDescent="0.3">
      <c r="A524" s="102"/>
      <c r="B524" s="103"/>
    </row>
    <row r="525" spans="1:2" x14ac:dyDescent="0.3">
      <c r="A525" s="102"/>
      <c r="B525" s="103"/>
    </row>
    <row r="526" spans="1:2" x14ac:dyDescent="0.3">
      <c r="A526" s="102"/>
      <c r="B526" s="103"/>
    </row>
    <row r="527" spans="1:2" x14ac:dyDescent="0.3">
      <c r="A527" s="102"/>
      <c r="B527" s="103"/>
    </row>
    <row r="528" spans="1:2" x14ac:dyDescent="0.3">
      <c r="A528" s="102"/>
      <c r="B528" s="103"/>
    </row>
    <row r="529" spans="1:2" x14ac:dyDescent="0.3">
      <c r="A529" s="102"/>
      <c r="B529" s="103"/>
    </row>
    <row r="530" spans="1:2" x14ac:dyDescent="0.3">
      <c r="A530" s="102"/>
      <c r="B530" s="103"/>
    </row>
    <row r="531" spans="1:2" x14ac:dyDescent="0.3">
      <c r="A531" s="102"/>
      <c r="B531" s="103"/>
    </row>
    <row r="532" spans="1:2" x14ac:dyDescent="0.3">
      <c r="A532" s="102"/>
      <c r="B532" s="103"/>
    </row>
    <row r="533" spans="1:2" x14ac:dyDescent="0.3">
      <c r="A533" s="102"/>
      <c r="B533" s="103"/>
    </row>
    <row r="534" spans="1:2" x14ac:dyDescent="0.3">
      <c r="A534" s="102"/>
      <c r="B534" s="103"/>
    </row>
    <row r="535" spans="1:2" x14ac:dyDescent="0.3">
      <c r="A535" s="102"/>
      <c r="B535" s="103"/>
    </row>
    <row r="536" spans="1:2" x14ac:dyDescent="0.3">
      <c r="A536" s="102"/>
      <c r="B536" s="103"/>
    </row>
    <row r="537" spans="1:2" x14ac:dyDescent="0.3">
      <c r="A537" s="102"/>
      <c r="B537" s="103"/>
    </row>
    <row r="538" spans="1:2" x14ac:dyDescent="0.3">
      <c r="A538" s="102"/>
      <c r="B538" s="103"/>
    </row>
    <row r="539" spans="1:2" x14ac:dyDescent="0.3">
      <c r="A539" s="102"/>
      <c r="B539" s="103"/>
    </row>
    <row r="540" spans="1:2" x14ac:dyDescent="0.3">
      <c r="A540" s="102"/>
      <c r="B540" s="103"/>
    </row>
    <row r="541" spans="1:2" x14ac:dyDescent="0.3">
      <c r="A541" s="102"/>
      <c r="B541" s="103"/>
    </row>
    <row r="542" spans="1:2" x14ac:dyDescent="0.3">
      <c r="A542" s="102"/>
      <c r="B542" s="103"/>
    </row>
    <row r="543" spans="1:2" x14ac:dyDescent="0.3">
      <c r="A543" s="102"/>
      <c r="B543" s="103"/>
    </row>
    <row r="544" spans="1:2" x14ac:dyDescent="0.3">
      <c r="A544" s="102"/>
      <c r="B544" s="103"/>
    </row>
    <row r="545" spans="1:2" x14ac:dyDescent="0.3">
      <c r="A545" s="102"/>
      <c r="B545" s="103"/>
    </row>
    <row r="546" spans="1:2" x14ac:dyDescent="0.3">
      <c r="A546" s="102"/>
      <c r="B546" s="103"/>
    </row>
    <row r="547" spans="1:2" x14ac:dyDescent="0.3">
      <c r="A547" s="102"/>
      <c r="B547" s="103"/>
    </row>
    <row r="548" spans="1:2" x14ac:dyDescent="0.3">
      <c r="A548" s="102"/>
      <c r="B548" s="103"/>
    </row>
    <row r="549" spans="1:2" x14ac:dyDescent="0.3">
      <c r="A549" s="102"/>
      <c r="B549" s="103"/>
    </row>
    <row r="550" spans="1:2" x14ac:dyDescent="0.3">
      <c r="A550" s="102"/>
      <c r="B550" s="103"/>
    </row>
    <row r="551" spans="1:2" x14ac:dyDescent="0.3">
      <c r="A551" s="102"/>
      <c r="B551" s="103"/>
    </row>
    <row r="552" spans="1:2" x14ac:dyDescent="0.3">
      <c r="A552" s="102"/>
      <c r="B552" s="103"/>
    </row>
    <row r="553" spans="1:2" x14ac:dyDescent="0.3">
      <c r="A553" s="102"/>
      <c r="B553" s="103"/>
    </row>
    <row r="554" spans="1:2" x14ac:dyDescent="0.3">
      <c r="A554" s="102"/>
      <c r="B554" s="103"/>
    </row>
    <row r="555" spans="1:2" x14ac:dyDescent="0.3">
      <c r="A555" s="102"/>
      <c r="B555" s="103"/>
    </row>
    <row r="556" spans="1:2" x14ac:dyDescent="0.3">
      <c r="A556" s="102"/>
      <c r="B556" s="103"/>
    </row>
    <row r="557" spans="1:2" x14ac:dyDescent="0.3">
      <c r="A557" s="102"/>
      <c r="B557" s="103"/>
    </row>
    <row r="558" spans="1:2" x14ac:dyDescent="0.3">
      <c r="A558" s="102"/>
      <c r="B558" s="103"/>
    </row>
    <row r="559" spans="1:2" x14ac:dyDescent="0.3">
      <c r="A559" s="102"/>
      <c r="B559" s="103"/>
    </row>
    <row r="560" spans="1:2" x14ac:dyDescent="0.3">
      <c r="A560" s="102"/>
      <c r="B560" s="103"/>
    </row>
    <row r="561" spans="1:2" x14ac:dyDescent="0.3">
      <c r="A561" s="102"/>
      <c r="B561" s="103"/>
    </row>
    <row r="562" spans="1:2" x14ac:dyDescent="0.3">
      <c r="A562" s="102"/>
      <c r="B562" s="103"/>
    </row>
    <row r="563" spans="1:2" x14ac:dyDescent="0.3">
      <c r="A563" s="102"/>
      <c r="B563" s="103"/>
    </row>
    <row r="564" spans="1:2" x14ac:dyDescent="0.3">
      <c r="A564" s="102"/>
      <c r="B564" s="103"/>
    </row>
    <row r="565" spans="1:2" x14ac:dyDescent="0.3">
      <c r="A565" s="102"/>
      <c r="B565" s="103"/>
    </row>
    <row r="566" spans="1:2" x14ac:dyDescent="0.3">
      <c r="A566" s="102"/>
      <c r="B566" s="103"/>
    </row>
    <row r="567" spans="1:2" x14ac:dyDescent="0.3">
      <c r="A567" s="102"/>
      <c r="B567" s="103"/>
    </row>
    <row r="568" spans="1:2" x14ac:dyDescent="0.3">
      <c r="A568" s="102"/>
      <c r="B568" s="103"/>
    </row>
    <row r="569" spans="1:2" x14ac:dyDescent="0.3">
      <c r="A569" s="102"/>
      <c r="B569" s="103"/>
    </row>
    <row r="570" spans="1:2" x14ac:dyDescent="0.3">
      <c r="A570" s="102"/>
      <c r="B570" s="103"/>
    </row>
    <row r="571" spans="1:2" x14ac:dyDescent="0.3">
      <c r="A571" s="102"/>
      <c r="B571" s="103"/>
    </row>
    <row r="572" spans="1:2" x14ac:dyDescent="0.3">
      <c r="A572" s="102"/>
      <c r="B572" s="103"/>
    </row>
    <row r="573" spans="1:2" x14ac:dyDescent="0.3">
      <c r="A573" s="102"/>
      <c r="B573" s="103"/>
    </row>
    <row r="574" spans="1:2" x14ac:dyDescent="0.3">
      <c r="A574" s="102"/>
      <c r="B574" s="103"/>
    </row>
    <row r="575" spans="1:2" x14ac:dyDescent="0.3">
      <c r="A575" s="102"/>
      <c r="B575" s="103"/>
    </row>
    <row r="576" spans="1:2" x14ac:dyDescent="0.3">
      <c r="A576" s="102"/>
      <c r="B576" s="103"/>
    </row>
    <row r="577" spans="1:2" x14ac:dyDescent="0.3">
      <c r="A577" s="102"/>
      <c r="B577" s="103"/>
    </row>
    <row r="578" spans="1:2" x14ac:dyDescent="0.3">
      <c r="A578" s="102"/>
      <c r="B578" s="103"/>
    </row>
    <row r="579" spans="1:2" x14ac:dyDescent="0.3">
      <c r="A579" s="102"/>
      <c r="B579" s="103"/>
    </row>
    <row r="580" spans="1:2" x14ac:dyDescent="0.3">
      <c r="A580" s="102"/>
      <c r="B580" s="103"/>
    </row>
    <row r="581" spans="1:2" x14ac:dyDescent="0.3">
      <c r="A581" s="102"/>
      <c r="B581" s="103"/>
    </row>
    <row r="582" spans="1:2" x14ac:dyDescent="0.3">
      <c r="A582" s="102"/>
      <c r="B582" s="103"/>
    </row>
    <row r="583" spans="1:2" x14ac:dyDescent="0.3">
      <c r="A583" s="102"/>
      <c r="B583" s="103"/>
    </row>
    <row r="584" spans="1:2" x14ac:dyDescent="0.3">
      <c r="A584" s="102"/>
      <c r="B584" s="103"/>
    </row>
    <row r="585" spans="1:2" x14ac:dyDescent="0.3">
      <c r="A585" s="102"/>
      <c r="B585" s="103"/>
    </row>
    <row r="586" spans="1:2" x14ac:dyDescent="0.3">
      <c r="A586" s="102"/>
      <c r="B586" s="103"/>
    </row>
    <row r="587" spans="1:2" x14ac:dyDescent="0.3">
      <c r="A587" s="102"/>
      <c r="B587" s="103"/>
    </row>
    <row r="588" spans="1:2" x14ac:dyDescent="0.3">
      <c r="A588" s="102"/>
      <c r="B588" s="103"/>
    </row>
    <row r="589" spans="1:2" x14ac:dyDescent="0.3">
      <c r="A589" s="102"/>
      <c r="B589" s="103"/>
    </row>
    <row r="590" spans="1:2" x14ac:dyDescent="0.3">
      <c r="A590" s="102"/>
      <c r="B590" s="103"/>
    </row>
    <row r="591" spans="1:2" x14ac:dyDescent="0.3">
      <c r="A591" s="102"/>
      <c r="B591" s="103"/>
    </row>
    <row r="592" spans="1:2" x14ac:dyDescent="0.3">
      <c r="A592" s="102"/>
      <c r="B592" s="103"/>
    </row>
    <row r="593" spans="1:2" x14ac:dyDescent="0.3">
      <c r="A593" s="102"/>
      <c r="B593" s="103"/>
    </row>
    <row r="594" spans="1:2" x14ac:dyDescent="0.3">
      <c r="A594" s="102"/>
      <c r="B594" s="103"/>
    </row>
    <row r="595" spans="1:2" x14ac:dyDescent="0.3">
      <c r="A595" s="102"/>
      <c r="B595" s="103"/>
    </row>
    <row r="596" spans="1:2" x14ac:dyDescent="0.3">
      <c r="A596" s="102"/>
      <c r="B596" s="103"/>
    </row>
    <row r="597" spans="1:2" x14ac:dyDescent="0.3">
      <c r="A597" s="102"/>
      <c r="B597" s="103"/>
    </row>
    <row r="598" spans="1:2" x14ac:dyDescent="0.3">
      <c r="A598" s="102"/>
      <c r="B598" s="103"/>
    </row>
    <row r="599" spans="1:2" x14ac:dyDescent="0.3">
      <c r="A599" s="102"/>
      <c r="B599" s="103"/>
    </row>
    <row r="600" spans="1:2" x14ac:dyDescent="0.3">
      <c r="A600" s="102"/>
      <c r="B600" s="103"/>
    </row>
    <row r="601" spans="1:2" x14ac:dyDescent="0.3">
      <c r="A601" s="102"/>
      <c r="B601" s="103"/>
    </row>
    <row r="602" spans="1:2" x14ac:dyDescent="0.3">
      <c r="A602" s="102"/>
      <c r="B602" s="103"/>
    </row>
    <row r="603" spans="1:2" x14ac:dyDescent="0.3">
      <c r="A603" s="102"/>
      <c r="B603" s="103"/>
    </row>
    <row r="604" spans="1:2" x14ac:dyDescent="0.3">
      <c r="A604" s="102"/>
      <c r="B604" s="103"/>
    </row>
    <row r="605" spans="1:2" x14ac:dyDescent="0.3">
      <c r="A605" s="102"/>
      <c r="B605" s="103"/>
    </row>
    <row r="606" spans="1:2" x14ac:dyDescent="0.3">
      <c r="A606" s="102"/>
      <c r="B606" s="103"/>
    </row>
    <row r="607" spans="1:2" x14ac:dyDescent="0.3">
      <c r="A607" s="102"/>
      <c r="B607" s="103"/>
    </row>
    <row r="608" spans="1:2" x14ac:dyDescent="0.3">
      <c r="A608" s="102"/>
      <c r="B608" s="103"/>
    </row>
    <row r="609" spans="1:2" x14ac:dyDescent="0.3">
      <c r="A609" s="102"/>
      <c r="B609" s="103"/>
    </row>
    <row r="610" spans="1:2" x14ac:dyDescent="0.3">
      <c r="A610" s="102"/>
      <c r="B610" s="103"/>
    </row>
    <row r="611" spans="1:2" x14ac:dyDescent="0.3">
      <c r="A611" s="102"/>
      <c r="B611" s="103"/>
    </row>
    <row r="612" spans="1:2" x14ac:dyDescent="0.3">
      <c r="A612" s="102"/>
      <c r="B612" s="103"/>
    </row>
    <row r="613" spans="1:2" x14ac:dyDescent="0.3">
      <c r="A613" s="102"/>
      <c r="B613" s="103"/>
    </row>
    <row r="614" spans="1:2" x14ac:dyDescent="0.3">
      <c r="A614" s="102"/>
      <c r="B614" s="103"/>
    </row>
    <row r="615" spans="1:2" x14ac:dyDescent="0.3">
      <c r="A615" s="102"/>
      <c r="B615" s="103"/>
    </row>
    <row r="616" spans="1:2" x14ac:dyDescent="0.3">
      <c r="A616" s="102"/>
      <c r="B616" s="103"/>
    </row>
    <row r="617" spans="1:2" x14ac:dyDescent="0.3">
      <c r="A617" s="102"/>
      <c r="B617" s="103"/>
    </row>
    <row r="618" spans="1:2" x14ac:dyDescent="0.3">
      <c r="A618" s="102"/>
      <c r="B618" s="103"/>
    </row>
    <row r="619" spans="1:2" x14ac:dyDescent="0.3">
      <c r="A619" s="102"/>
      <c r="B619" s="103"/>
    </row>
    <row r="620" spans="1:2" x14ac:dyDescent="0.3">
      <c r="A620" s="102"/>
      <c r="B620" s="103"/>
    </row>
    <row r="621" spans="1:2" x14ac:dyDescent="0.3">
      <c r="A621" s="102"/>
      <c r="B621" s="103"/>
    </row>
    <row r="622" spans="1:2" x14ac:dyDescent="0.3">
      <c r="A622" s="102"/>
      <c r="B622" s="103"/>
    </row>
    <row r="623" spans="1:2" x14ac:dyDescent="0.3">
      <c r="A623" s="102"/>
      <c r="B623" s="103"/>
    </row>
    <row r="624" spans="1:2" x14ac:dyDescent="0.3">
      <c r="A624" s="102"/>
      <c r="B624" s="103"/>
    </row>
    <row r="625" spans="1:2" x14ac:dyDescent="0.3">
      <c r="A625" s="102"/>
      <c r="B625" s="103"/>
    </row>
    <row r="626" spans="1:2" x14ac:dyDescent="0.3">
      <c r="A626" s="102"/>
      <c r="B626" s="103"/>
    </row>
    <row r="627" spans="1:2" x14ac:dyDescent="0.3">
      <c r="A627" s="102"/>
      <c r="B627" s="103"/>
    </row>
    <row r="628" spans="1:2" x14ac:dyDescent="0.3">
      <c r="A628" s="102"/>
      <c r="B628" s="103"/>
    </row>
    <row r="629" spans="1:2" x14ac:dyDescent="0.3">
      <c r="A629" s="102"/>
      <c r="B629" s="103"/>
    </row>
    <row r="630" spans="1:2" x14ac:dyDescent="0.3">
      <c r="A630" s="102"/>
      <c r="B630" s="103"/>
    </row>
    <row r="631" spans="1:2" x14ac:dyDescent="0.3">
      <c r="A631" s="102"/>
      <c r="B631" s="103"/>
    </row>
    <row r="632" spans="1:2" x14ac:dyDescent="0.3">
      <c r="A632" s="102"/>
      <c r="B632" s="103"/>
    </row>
    <row r="633" spans="1:2" x14ac:dyDescent="0.3">
      <c r="A633" s="102"/>
      <c r="B633" s="103"/>
    </row>
    <row r="634" spans="1:2" x14ac:dyDescent="0.3">
      <c r="A634" s="102"/>
      <c r="B634" s="103"/>
    </row>
    <row r="635" spans="1:2" x14ac:dyDescent="0.3">
      <c r="A635" s="102"/>
      <c r="B635" s="103"/>
    </row>
    <row r="636" spans="1:2" x14ac:dyDescent="0.3">
      <c r="A636" s="102"/>
      <c r="B636" s="103"/>
    </row>
    <row r="637" spans="1:2" x14ac:dyDescent="0.3">
      <c r="A637" s="102"/>
      <c r="B637" s="103"/>
    </row>
    <row r="638" spans="1:2" x14ac:dyDescent="0.3">
      <c r="A638" s="102"/>
      <c r="B638" s="103"/>
    </row>
    <row r="639" spans="1:2" x14ac:dyDescent="0.3">
      <c r="A639" s="102"/>
      <c r="B639" s="103"/>
    </row>
    <row r="640" spans="1:2" x14ac:dyDescent="0.3">
      <c r="A640" s="102"/>
      <c r="B640" s="103"/>
    </row>
    <row r="641" spans="1:2" x14ac:dyDescent="0.3">
      <c r="A641" s="102"/>
      <c r="B641" s="103"/>
    </row>
    <row r="642" spans="1:2" x14ac:dyDescent="0.3">
      <c r="A642" s="102"/>
      <c r="B642" s="103"/>
    </row>
    <row r="643" spans="1:2" x14ac:dyDescent="0.3">
      <c r="A643" s="102"/>
      <c r="B643" s="103"/>
    </row>
    <row r="644" spans="1:2" x14ac:dyDescent="0.3">
      <c r="A644" s="102"/>
      <c r="B644" s="103"/>
    </row>
    <row r="645" spans="1:2" x14ac:dyDescent="0.3">
      <c r="A645" s="102"/>
      <c r="B645" s="103"/>
    </row>
    <row r="646" spans="1:2" x14ac:dyDescent="0.3">
      <c r="A646" s="102"/>
      <c r="B646" s="103"/>
    </row>
    <row r="647" spans="1:2" x14ac:dyDescent="0.3">
      <c r="A647" s="102"/>
      <c r="B647" s="103"/>
    </row>
    <row r="648" spans="1:2" x14ac:dyDescent="0.3">
      <c r="A648" s="102"/>
      <c r="B648" s="103"/>
    </row>
    <row r="649" spans="1:2" x14ac:dyDescent="0.3">
      <c r="A649" s="102"/>
      <c r="B649" s="103"/>
    </row>
  </sheetData>
  <autoFilter ref="D1:I217" xr:uid="{D3F49943-91AC-41EA-A283-EE49A8987BDB}"/>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3C21A-20B8-42DE-99D1-340B376919FD}">
  <dimension ref="A1:M91"/>
  <sheetViews>
    <sheetView workbookViewId="0">
      <selection activeCell="F5" sqref="F5"/>
    </sheetView>
  </sheetViews>
  <sheetFormatPr defaultRowHeight="14.4" x14ac:dyDescent="0.3"/>
  <cols>
    <col min="1" max="1" width="37.5546875" customWidth="1"/>
    <col min="2" max="2" width="17" customWidth="1"/>
    <col min="3" max="3" width="13.6640625" customWidth="1"/>
    <col min="4" max="4" width="11.6640625" customWidth="1"/>
    <col min="5" max="7" width="13.6640625" customWidth="1"/>
    <col min="8" max="8" width="10.6640625" customWidth="1"/>
    <col min="9" max="9" width="10.5546875" customWidth="1"/>
    <col min="10" max="10" width="13.44140625" customWidth="1"/>
    <col min="11" max="11" width="11.6640625" customWidth="1"/>
    <col min="12" max="12" width="29.6640625" customWidth="1"/>
    <col min="13" max="13" width="24.33203125" customWidth="1"/>
  </cols>
  <sheetData>
    <row r="1" spans="1:13" x14ac:dyDescent="0.3">
      <c r="A1" s="50" t="s">
        <v>256</v>
      </c>
      <c r="B1" s="50">
        <v>70</v>
      </c>
    </row>
    <row r="3" spans="1:13" ht="36" customHeight="1" x14ac:dyDescent="0.3">
      <c r="A3" s="47"/>
      <c r="B3" s="47"/>
      <c r="C3" s="165" t="s">
        <v>257</v>
      </c>
      <c r="D3" s="166"/>
      <c r="E3" s="166"/>
      <c r="F3" s="166"/>
      <c r="G3" s="167"/>
      <c r="H3" s="165" t="s">
        <v>258</v>
      </c>
      <c r="I3" s="166"/>
      <c r="J3" s="166"/>
      <c r="K3" s="167"/>
      <c r="L3" s="51" t="s">
        <v>259</v>
      </c>
      <c r="M3" s="49" t="s">
        <v>260</v>
      </c>
    </row>
    <row r="4" spans="1:13" x14ac:dyDescent="0.3">
      <c r="A4" s="91" t="s">
        <v>159</v>
      </c>
      <c r="B4" s="91" t="s">
        <v>160</v>
      </c>
      <c r="C4" s="91" t="s">
        <v>261</v>
      </c>
      <c r="D4" s="91" t="s">
        <v>262</v>
      </c>
      <c r="E4" s="91" t="s">
        <v>263</v>
      </c>
      <c r="F4" s="91" t="s">
        <v>264</v>
      </c>
      <c r="G4" s="91" t="s">
        <v>265</v>
      </c>
      <c r="H4" s="91" t="s">
        <v>172</v>
      </c>
      <c r="I4" s="91" t="s">
        <v>83</v>
      </c>
      <c r="J4" s="91" t="s">
        <v>266</v>
      </c>
      <c r="K4" s="91" t="s">
        <v>173</v>
      </c>
      <c r="L4" s="91"/>
      <c r="M4" s="91"/>
    </row>
    <row r="5" spans="1:13" x14ac:dyDescent="0.3">
      <c r="A5" s="110" t="s">
        <v>176</v>
      </c>
      <c r="B5" s="110" t="s">
        <v>246</v>
      </c>
      <c r="C5" s="111">
        <v>1723271</v>
      </c>
      <c r="D5" s="111">
        <v>48492568</v>
      </c>
      <c r="E5" s="47">
        <v>0</v>
      </c>
      <c r="F5" s="48">
        <f t="shared" ref="F5:F6" si="0">SUM(B5:D5)</f>
        <v>50215839</v>
      </c>
      <c r="G5" s="48">
        <f>F5/365</f>
        <v>137577.6410958904</v>
      </c>
      <c r="H5" s="47"/>
      <c r="I5" s="47"/>
      <c r="J5" s="47"/>
      <c r="K5" s="47"/>
      <c r="L5" s="48">
        <f>B$1*G5</f>
        <v>9630434.8767123278</v>
      </c>
      <c r="M5" s="47"/>
    </row>
    <row r="6" spans="1:13" x14ac:dyDescent="0.3">
      <c r="A6" s="110" t="s">
        <v>176</v>
      </c>
      <c r="B6" s="110" t="s">
        <v>245</v>
      </c>
      <c r="C6" s="111">
        <v>3370921</v>
      </c>
      <c r="D6" s="111">
        <v>11319730</v>
      </c>
      <c r="E6" s="47">
        <v>0</v>
      </c>
      <c r="F6" s="48">
        <f t="shared" si="0"/>
        <v>14690651</v>
      </c>
      <c r="G6" s="48">
        <f t="shared" ref="G6:G69" si="1">F6/365</f>
        <v>40248.358904109591</v>
      </c>
      <c r="H6" s="47"/>
      <c r="I6" s="47"/>
      <c r="J6" s="47"/>
      <c r="K6" s="47"/>
      <c r="L6" s="48">
        <f t="shared" ref="L6:L69" si="2">B$1*G6</f>
        <v>2817385.1232876712</v>
      </c>
      <c r="M6" s="47"/>
    </row>
    <row r="7" spans="1:13" x14ac:dyDescent="0.3">
      <c r="A7" s="110" t="s">
        <v>176</v>
      </c>
      <c r="B7" s="110" t="s">
        <v>251</v>
      </c>
      <c r="C7" s="111">
        <v>11016237.1</v>
      </c>
      <c r="D7" s="111">
        <v>2636567.08</v>
      </c>
      <c r="E7" s="47">
        <v>0</v>
      </c>
      <c r="F7" s="48">
        <f>SUM(B7:D7)</f>
        <v>13652804.18</v>
      </c>
      <c r="G7" s="48">
        <f t="shared" si="1"/>
        <v>37404.94295890411</v>
      </c>
      <c r="H7" s="47"/>
      <c r="I7" s="47"/>
      <c r="J7" s="47"/>
      <c r="K7" s="47"/>
      <c r="L7" s="48">
        <f t="shared" si="2"/>
        <v>2618346.0071232878</v>
      </c>
      <c r="M7" s="47"/>
    </row>
    <row r="8" spans="1:13" x14ac:dyDescent="0.3">
      <c r="A8" s="110" t="s">
        <v>176</v>
      </c>
      <c r="B8" s="110" t="s">
        <v>253</v>
      </c>
      <c r="C8" s="111">
        <v>2276141.37</v>
      </c>
      <c r="D8" s="111">
        <v>8293380.79</v>
      </c>
      <c r="E8" s="47">
        <v>0</v>
      </c>
      <c r="F8" s="48">
        <f t="shared" ref="F8:F71" si="3">SUM(B8:D8)</f>
        <v>10569522.16</v>
      </c>
      <c r="G8" s="48">
        <f t="shared" si="1"/>
        <v>28957.594958904108</v>
      </c>
      <c r="H8" s="47"/>
      <c r="I8" s="47"/>
      <c r="J8" s="47"/>
      <c r="K8" s="47"/>
      <c r="L8" s="48">
        <f t="shared" si="2"/>
        <v>2027031.6471232877</v>
      </c>
      <c r="M8" s="47"/>
    </row>
    <row r="9" spans="1:13" x14ac:dyDescent="0.3">
      <c r="A9" s="110" t="s">
        <v>176</v>
      </c>
      <c r="B9" s="110" t="s">
        <v>247</v>
      </c>
      <c r="C9" s="111">
        <v>442094</v>
      </c>
      <c r="D9" s="111">
        <v>7079618</v>
      </c>
      <c r="E9" s="47">
        <v>0</v>
      </c>
      <c r="F9" s="48">
        <f t="shared" si="3"/>
        <v>7521712</v>
      </c>
      <c r="G9" s="48">
        <f t="shared" si="1"/>
        <v>20607.430136986302</v>
      </c>
      <c r="H9" s="47"/>
      <c r="I9" s="47"/>
      <c r="J9" s="47"/>
      <c r="K9" s="47"/>
      <c r="L9" s="48">
        <f t="shared" si="2"/>
        <v>1442520.1095890412</v>
      </c>
      <c r="M9" s="47"/>
    </row>
    <row r="10" spans="1:13" x14ac:dyDescent="0.3">
      <c r="A10" s="110" t="s">
        <v>176</v>
      </c>
      <c r="B10" s="110" t="s">
        <v>248</v>
      </c>
      <c r="C10" s="111">
        <v>638853</v>
      </c>
      <c r="D10" s="111">
        <v>5316427</v>
      </c>
      <c r="E10" s="47">
        <v>0</v>
      </c>
      <c r="F10" s="48">
        <f t="shared" si="3"/>
        <v>5955280</v>
      </c>
      <c r="G10" s="48">
        <f t="shared" si="1"/>
        <v>16315.835616438357</v>
      </c>
      <c r="H10" s="47"/>
      <c r="I10" s="47"/>
      <c r="J10" s="47"/>
      <c r="K10" s="47"/>
      <c r="L10" s="48">
        <f t="shared" si="2"/>
        <v>1142108.493150685</v>
      </c>
      <c r="M10" s="47"/>
    </row>
    <row r="11" spans="1:13" x14ac:dyDescent="0.3">
      <c r="A11" s="110" t="s">
        <v>176</v>
      </c>
      <c r="B11" s="110" t="s">
        <v>242</v>
      </c>
      <c r="C11" s="111">
        <v>228916</v>
      </c>
      <c r="D11" s="111">
        <v>4173314</v>
      </c>
      <c r="E11" s="47">
        <v>0</v>
      </c>
      <c r="F11" s="48">
        <f t="shared" si="3"/>
        <v>4402230</v>
      </c>
      <c r="G11" s="48">
        <f t="shared" si="1"/>
        <v>12060.904109589041</v>
      </c>
      <c r="H11" s="47"/>
      <c r="I11" s="47"/>
      <c r="J11" s="47"/>
      <c r="K11" s="47"/>
      <c r="L11" s="48">
        <f t="shared" si="2"/>
        <v>844263.28767123283</v>
      </c>
      <c r="M11" s="47"/>
    </row>
    <row r="12" spans="1:13" x14ac:dyDescent="0.3">
      <c r="A12" s="110" t="s">
        <v>176</v>
      </c>
      <c r="B12" s="110" t="s">
        <v>240</v>
      </c>
      <c r="C12" s="111">
        <v>200776</v>
      </c>
      <c r="D12" s="111">
        <v>4104533</v>
      </c>
      <c r="E12" s="47">
        <v>0</v>
      </c>
      <c r="F12" s="48">
        <f t="shared" si="3"/>
        <v>4305309</v>
      </c>
      <c r="G12" s="48">
        <f t="shared" si="1"/>
        <v>11795.367123287671</v>
      </c>
      <c r="H12" s="47"/>
      <c r="I12" s="47"/>
      <c r="J12" s="47"/>
      <c r="K12" s="47"/>
      <c r="L12" s="48">
        <f t="shared" si="2"/>
        <v>825675.69863013702</v>
      </c>
      <c r="M12" s="47"/>
    </row>
    <row r="13" spans="1:13" x14ac:dyDescent="0.3">
      <c r="A13" s="110" t="s">
        <v>176</v>
      </c>
      <c r="B13" s="110" t="s">
        <v>249</v>
      </c>
      <c r="C13" s="111">
        <v>227360</v>
      </c>
      <c r="D13" s="111">
        <v>4046638</v>
      </c>
      <c r="E13" s="47">
        <v>0</v>
      </c>
      <c r="F13" s="48">
        <f t="shared" si="3"/>
        <v>4273998</v>
      </c>
      <c r="G13" s="48">
        <f t="shared" si="1"/>
        <v>11709.583561643836</v>
      </c>
      <c r="H13" s="47"/>
      <c r="I13" s="47"/>
      <c r="J13" s="47"/>
      <c r="K13" s="47"/>
      <c r="L13" s="48">
        <f t="shared" si="2"/>
        <v>819670.84931506857</v>
      </c>
      <c r="M13" s="47"/>
    </row>
    <row r="14" spans="1:13" x14ac:dyDescent="0.3">
      <c r="A14" s="110" t="s">
        <v>176</v>
      </c>
      <c r="B14" s="110" t="s">
        <v>252</v>
      </c>
      <c r="C14" s="111">
        <v>1947717.14</v>
      </c>
      <c r="D14" s="111">
        <v>1709755.42</v>
      </c>
      <c r="E14" s="47">
        <v>0</v>
      </c>
      <c r="F14" s="48">
        <f t="shared" si="3"/>
        <v>3657472.5599999996</v>
      </c>
      <c r="G14" s="48">
        <f t="shared" si="1"/>
        <v>10020.472767123287</v>
      </c>
      <c r="H14" s="47"/>
      <c r="I14" s="47"/>
      <c r="J14" s="47"/>
      <c r="K14" s="47"/>
      <c r="L14" s="48">
        <f t="shared" si="2"/>
        <v>701433.09369863011</v>
      </c>
      <c r="M14" s="47"/>
    </row>
    <row r="15" spans="1:13" x14ac:dyDescent="0.3">
      <c r="A15" s="110" t="s">
        <v>176</v>
      </c>
      <c r="B15" s="110" t="s">
        <v>243</v>
      </c>
      <c r="C15" s="111">
        <v>175211</v>
      </c>
      <c r="D15" s="111">
        <v>3191784</v>
      </c>
      <c r="E15" s="47">
        <v>0</v>
      </c>
      <c r="F15" s="48">
        <f t="shared" si="3"/>
        <v>3366995</v>
      </c>
      <c r="G15" s="48">
        <f t="shared" si="1"/>
        <v>9224.6438356164381</v>
      </c>
      <c r="H15" s="47"/>
      <c r="I15" s="47"/>
      <c r="J15" s="47"/>
      <c r="K15" s="47"/>
      <c r="L15" s="48">
        <f t="shared" si="2"/>
        <v>645725.06849315064</v>
      </c>
      <c r="M15" s="47"/>
    </row>
    <row r="16" spans="1:13" x14ac:dyDescent="0.3">
      <c r="A16" s="110" t="s">
        <v>176</v>
      </c>
      <c r="B16" s="110" t="s">
        <v>244</v>
      </c>
      <c r="C16" s="111">
        <v>158779</v>
      </c>
      <c r="D16" s="111">
        <v>3140749</v>
      </c>
      <c r="E16" s="47">
        <v>0</v>
      </c>
      <c r="F16" s="48">
        <f t="shared" si="3"/>
        <v>3299528</v>
      </c>
      <c r="G16" s="48">
        <f t="shared" si="1"/>
        <v>9039.8027397260266</v>
      </c>
      <c r="H16" s="47"/>
      <c r="I16" s="47"/>
      <c r="J16" s="47"/>
      <c r="K16" s="47"/>
      <c r="L16" s="48">
        <f t="shared" si="2"/>
        <v>632786.19178082189</v>
      </c>
      <c r="M16" s="47"/>
    </row>
    <row r="17" spans="1:13" x14ac:dyDescent="0.3">
      <c r="A17" s="110" t="s">
        <v>176</v>
      </c>
      <c r="B17" s="110" t="s">
        <v>241</v>
      </c>
      <c r="C17" s="111">
        <v>27584</v>
      </c>
      <c r="D17" s="111">
        <v>1510692</v>
      </c>
      <c r="E17" s="47">
        <v>0</v>
      </c>
      <c r="F17" s="48">
        <f t="shared" si="3"/>
        <v>1538276</v>
      </c>
      <c r="G17" s="48">
        <f t="shared" si="1"/>
        <v>4214.4547945205477</v>
      </c>
      <c r="H17" s="47"/>
      <c r="I17" s="47"/>
      <c r="J17" s="47"/>
      <c r="K17" s="47"/>
      <c r="L17" s="48">
        <f t="shared" si="2"/>
        <v>295011.83561643836</v>
      </c>
      <c r="M17" s="47"/>
    </row>
    <row r="18" spans="1:13" x14ac:dyDescent="0.3">
      <c r="A18" s="110" t="s">
        <v>176</v>
      </c>
      <c r="B18" s="110" t="s">
        <v>255</v>
      </c>
      <c r="C18" s="111">
        <v>74146</v>
      </c>
      <c r="D18" s="111">
        <v>1321985</v>
      </c>
      <c r="E18" s="47">
        <v>0</v>
      </c>
      <c r="F18" s="48">
        <f t="shared" si="3"/>
        <v>1396131</v>
      </c>
      <c r="G18" s="48">
        <f t="shared" si="1"/>
        <v>3825.0164383561646</v>
      </c>
      <c r="H18" s="47"/>
      <c r="I18" s="47"/>
      <c r="J18" s="47"/>
      <c r="K18" s="47"/>
      <c r="L18" s="48">
        <f t="shared" si="2"/>
        <v>267751.15068493155</v>
      </c>
      <c r="M18" s="47"/>
    </row>
    <row r="19" spans="1:13" x14ac:dyDescent="0.3">
      <c r="A19" s="110" t="s">
        <v>176</v>
      </c>
      <c r="B19" s="110" t="s">
        <v>250</v>
      </c>
      <c r="C19" s="111">
        <v>26049</v>
      </c>
      <c r="D19" s="111">
        <v>1042594</v>
      </c>
      <c r="E19" s="47">
        <v>0</v>
      </c>
      <c r="F19" s="48">
        <f t="shared" si="3"/>
        <v>1068643</v>
      </c>
      <c r="G19" s="48">
        <f t="shared" si="1"/>
        <v>2927.7890410958903</v>
      </c>
      <c r="H19" s="47"/>
      <c r="I19" s="47"/>
      <c r="J19" s="47"/>
      <c r="K19" s="47"/>
      <c r="L19" s="48">
        <f t="shared" si="2"/>
        <v>204945.23287671231</v>
      </c>
      <c r="M19" s="47"/>
    </row>
    <row r="20" spans="1:13" x14ac:dyDescent="0.3">
      <c r="A20" s="110" t="s">
        <v>176</v>
      </c>
      <c r="B20" s="110" t="s">
        <v>254</v>
      </c>
      <c r="C20" s="111"/>
      <c r="D20" s="111"/>
      <c r="E20" s="47">
        <v>0</v>
      </c>
      <c r="F20" s="48">
        <f t="shared" si="3"/>
        <v>0</v>
      </c>
      <c r="G20" s="48">
        <f t="shared" si="1"/>
        <v>0</v>
      </c>
      <c r="H20" s="47"/>
      <c r="I20" s="47"/>
      <c r="J20" s="47"/>
      <c r="K20" s="47"/>
      <c r="L20" s="48">
        <f t="shared" si="2"/>
        <v>0</v>
      </c>
      <c r="M20" s="47"/>
    </row>
    <row r="21" spans="1:13" x14ac:dyDescent="0.3">
      <c r="A21" s="110" t="s">
        <v>179</v>
      </c>
      <c r="B21" s="110" t="s">
        <v>179</v>
      </c>
      <c r="C21" s="111">
        <v>2514986</v>
      </c>
      <c r="D21" s="111">
        <v>2504780</v>
      </c>
      <c r="E21" s="47">
        <v>0</v>
      </c>
      <c r="F21" s="48">
        <f t="shared" si="3"/>
        <v>5019766</v>
      </c>
      <c r="G21" s="48">
        <f t="shared" si="1"/>
        <v>13752.783561643835</v>
      </c>
      <c r="H21" s="47"/>
      <c r="I21" s="47"/>
      <c r="J21" s="47"/>
      <c r="K21" s="47"/>
      <c r="L21" s="48">
        <f t="shared" si="2"/>
        <v>962694.84931506845</v>
      </c>
      <c r="M21" s="47"/>
    </row>
    <row r="22" spans="1:13" x14ac:dyDescent="0.3">
      <c r="A22" s="110" t="s">
        <v>166</v>
      </c>
      <c r="B22" s="110" t="s">
        <v>191</v>
      </c>
      <c r="C22" s="111">
        <v>9943032</v>
      </c>
      <c r="D22" s="111">
        <v>3988587</v>
      </c>
      <c r="E22" s="47">
        <v>0</v>
      </c>
      <c r="F22" s="48">
        <f t="shared" si="3"/>
        <v>13931619</v>
      </c>
      <c r="G22" s="48">
        <f t="shared" si="1"/>
        <v>38168.819178082194</v>
      </c>
      <c r="H22" s="47"/>
      <c r="I22" s="47"/>
      <c r="J22" s="47"/>
      <c r="K22" s="47"/>
      <c r="L22" s="48">
        <f t="shared" si="2"/>
        <v>2671817.3424657537</v>
      </c>
      <c r="M22" s="47"/>
    </row>
    <row r="23" spans="1:13" x14ac:dyDescent="0.3">
      <c r="A23" s="110" t="s">
        <v>166</v>
      </c>
      <c r="B23" s="110" t="s">
        <v>184</v>
      </c>
      <c r="C23" s="111">
        <v>5987015</v>
      </c>
      <c r="D23" s="111">
        <v>4397181</v>
      </c>
      <c r="E23" s="47">
        <v>0</v>
      </c>
      <c r="F23" s="48">
        <f t="shared" si="3"/>
        <v>10384196</v>
      </c>
      <c r="G23" s="48">
        <f t="shared" si="1"/>
        <v>28449.852054794519</v>
      </c>
      <c r="H23" s="47"/>
      <c r="I23" s="47"/>
      <c r="J23" s="47"/>
      <c r="K23" s="47"/>
      <c r="L23" s="48">
        <f t="shared" si="2"/>
        <v>1991489.6438356163</v>
      </c>
      <c r="M23" s="47"/>
    </row>
    <row r="24" spans="1:13" x14ac:dyDescent="0.3">
      <c r="A24" s="110" t="s">
        <v>166</v>
      </c>
      <c r="B24" s="110" t="s">
        <v>200</v>
      </c>
      <c r="C24" s="111">
        <v>5719837</v>
      </c>
      <c r="D24" s="111">
        <v>1663232</v>
      </c>
      <c r="E24" s="47">
        <v>0</v>
      </c>
      <c r="F24" s="48">
        <f t="shared" si="3"/>
        <v>7383069</v>
      </c>
      <c r="G24" s="48">
        <f t="shared" si="1"/>
        <v>20227.586301369862</v>
      </c>
      <c r="H24" s="47"/>
      <c r="I24" s="47"/>
      <c r="J24" s="47"/>
      <c r="K24" s="47"/>
      <c r="L24" s="48">
        <f t="shared" si="2"/>
        <v>1415931.0410958903</v>
      </c>
      <c r="M24" s="47"/>
    </row>
    <row r="25" spans="1:13" x14ac:dyDescent="0.3">
      <c r="A25" s="110" t="s">
        <v>166</v>
      </c>
      <c r="B25" s="110" t="s">
        <v>190</v>
      </c>
      <c r="C25" s="111">
        <v>3049749</v>
      </c>
      <c r="D25" s="111">
        <v>3420350</v>
      </c>
      <c r="E25" s="47">
        <v>0</v>
      </c>
      <c r="F25" s="48">
        <f t="shared" si="3"/>
        <v>6470099</v>
      </c>
      <c r="G25" s="48">
        <f t="shared" si="1"/>
        <v>17726.298630136986</v>
      </c>
      <c r="H25" s="47"/>
      <c r="I25" s="47"/>
      <c r="J25" s="47"/>
      <c r="K25" s="47"/>
      <c r="L25" s="48">
        <f t="shared" si="2"/>
        <v>1240840.9041095891</v>
      </c>
      <c r="M25" s="47"/>
    </row>
    <row r="26" spans="1:13" x14ac:dyDescent="0.3">
      <c r="A26" s="110" t="s">
        <v>166</v>
      </c>
      <c r="B26" s="110" t="s">
        <v>196</v>
      </c>
      <c r="C26" s="111">
        <v>4404784</v>
      </c>
      <c r="D26" s="111">
        <v>1699026</v>
      </c>
      <c r="E26" s="47">
        <v>0</v>
      </c>
      <c r="F26" s="48">
        <f t="shared" si="3"/>
        <v>6103810</v>
      </c>
      <c r="G26" s="48">
        <f t="shared" si="1"/>
        <v>16722.767123287671</v>
      </c>
      <c r="H26" s="47"/>
      <c r="I26" s="47"/>
      <c r="J26" s="47"/>
      <c r="K26" s="47"/>
      <c r="L26" s="48">
        <f t="shared" si="2"/>
        <v>1170593.6986301369</v>
      </c>
      <c r="M26" s="47"/>
    </row>
    <row r="27" spans="1:13" x14ac:dyDescent="0.3">
      <c r="A27" s="110" t="s">
        <v>166</v>
      </c>
      <c r="B27" s="110" t="s">
        <v>178</v>
      </c>
      <c r="C27" s="111">
        <v>1507944</v>
      </c>
      <c r="D27" s="111">
        <v>3540394</v>
      </c>
      <c r="E27" s="47">
        <v>0</v>
      </c>
      <c r="F27" s="48">
        <f t="shared" si="3"/>
        <v>5048338</v>
      </c>
      <c r="G27" s="48">
        <f t="shared" si="1"/>
        <v>13831.063013698631</v>
      </c>
      <c r="H27" s="47"/>
      <c r="I27" s="47"/>
      <c r="J27" s="47"/>
      <c r="K27" s="47"/>
      <c r="L27" s="48">
        <f t="shared" si="2"/>
        <v>968174.41095890419</v>
      </c>
      <c r="M27" s="47"/>
    </row>
    <row r="28" spans="1:13" x14ac:dyDescent="0.3">
      <c r="A28" s="110" t="s">
        <v>166</v>
      </c>
      <c r="B28" s="110" t="s">
        <v>207</v>
      </c>
      <c r="C28" s="111">
        <v>4394566</v>
      </c>
      <c r="D28" s="111">
        <v>482571</v>
      </c>
      <c r="E28" s="47">
        <v>0</v>
      </c>
      <c r="F28" s="48">
        <f t="shared" si="3"/>
        <v>4877137</v>
      </c>
      <c r="G28" s="48">
        <f t="shared" si="1"/>
        <v>13362.019178082192</v>
      </c>
      <c r="H28" s="47"/>
      <c r="I28" s="47"/>
      <c r="J28" s="47"/>
      <c r="K28" s="47"/>
      <c r="L28" s="48">
        <f t="shared" si="2"/>
        <v>935341.34246575343</v>
      </c>
      <c r="M28" s="47"/>
    </row>
    <row r="29" spans="1:13" x14ac:dyDescent="0.3">
      <c r="A29" s="110" t="s">
        <v>166</v>
      </c>
      <c r="B29" s="110" t="s">
        <v>188</v>
      </c>
      <c r="C29" s="111">
        <v>1542492</v>
      </c>
      <c r="D29" s="111">
        <v>1121977</v>
      </c>
      <c r="E29" s="47">
        <v>0</v>
      </c>
      <c r="F29" s="48">
        <f t="shared" si="3"/>
        <v>2664469</v>
      </c>
      <c r="G29" s="48">
        <f t="shared" si="1"/>
        <v>7299.915068493151</v>
      </c>
      <c r="H29" s="47"/>
      <c r="I29" s="47"/>
      <c r="J29" s="47"/>
      <c r="K29" s="47"/>
      <c r="L29" s="48">
        <f t="shared" si="2"/>
        <v>510994.05479452055</v>
      </c>
      <c r="M29" s="47"/>
    </row>
    <row r="30" spans="1:13" x14ac:dyDescent="0.3">
      <c r="A30" s="110" t="s">
        <v>166</v>
      </c>
      <c r="B30" s="110" t="s">
        <v>201</v>
      </c>
      <c r="C30" s="111">
        <v>1671968</v>
      </c>
      <c r="D30" s="111">
        <v>506273</v>
      </c>
      <c r="E30" s="47">
        <v>0</v>
      </c>
      <c r="F30" s="48">
        <f t="shared" si="3"/>
        <v>2178241</v>
      </c>
      <c r="G30" s="48">
        <f t="shared" si="1"/>
        <v>5967.783561643836</v>
      </c>
      <c r="H30" s="47"/>
      <c r="I30" s="47"/>
      <c r="J30" s="47"/>
      <c r="K30" s="47"/>
      <c r="L30" s="48">
        <f t="shared" si="2"/>
        <v>417744.84931506851</v>
      </c>
      <c r="M30" s="47"/>
    </row>
    <row r="31" spans="1:13" x14ac:dyDescent="0.3">
      <c r="A31" s="110" t="s">
        <v>166</v>
      </c>
      <c r="B31" s="110" t="s">
        <v>195</v>
      </c>
      <c r="C31" s="111">
        <v>760387</v>
      </c>
      <c r="D31" s="111">
        <v>1124874</v>
      </c>
      <c r="E31" s="47">
        <v>0</v>
      </c>
      <c r="F31" s="48">
        <f t="shared" si="3"/>
        <v>1885261</v>
      </c>
      <c r="G31" s="48">
        <f t="shared" si="1"/>
        <v>5165.0986301369867</v>
      </c>
      <c r="H31" s="47"/>
      <c r="I31" s="47"/>
      <c r="J31" s="47"/>
      <c r="K31" s="47"/>
      <c r="L31" s="48">
        <f t="shared" si="2"/>
        <v>361556.90410958906</v>
      </c>
      <c r="M31" s="47"/>
    </row>
    <row r="32" spans="1:13" x14ac:dyDescent="0.3">
      <c r="A32" s="110" t="s">
        <v>166</v>
      </c>
      <c r="B32" s="110" t="s">
        <v>171</v>
      </c>
      <c r="C32" s="111">
        <v>1113472</v>
      </c>
      <c r="D32" s="111">
        <v>663518</v>
      </c>
      <c r="E32" s="47">
        <v>0</v>
      </c>
      <c r="F32" s="48">
        <f t="shared" si="3"/>
        <v>1776990</v>
      </c>
      <c r="G32" s="48">
        <f t="shared" si="1"/>
        <v>4868.4657534246571</v>
      </c>
      <c r="H32" s="47"/>
      <c r="I32" s="47"/>
      <c r="J32" s="47"/>
      <c r="K32" s="47"/>
      <c r="L32" s="48">
        <f t="shared" si="2"/>
        <v>340792.60273972602</v>
      </c>
      <c r="M32" s="47"/>
    </row>
    <row r="33" spans="1:13" x14ac:dyDescent="0.3">
      <c r="A33" s="110" t="s">
        <v>166</v>
      </c>
      <c r="B33" s="110" t="s">
        <v>34</v>
      </c>
      <c r="C33" s="111">
        <v>141940</v>
      </c>
      <c r="D33" s="111">
        <v>1395937</v>
      </c>
      <c r="E33" s="47">
        <v>0</v>
      </c>
      <c r="F33" s="48">
        <f t="shared" si="3"/>
        <v>1537877</v>
      </c>
      <c r="G33" s="48">
        <f t="shared" si="1"/>
        <v>4213.3616438356166</v>
      </c>
      <c r="H33" s="47"/>
      <c r="I33" s="47"/>
      <c r="J33" s="47"/>
      <c r="K33" s="47"/>
      <c r="L33" s="48">
        <f t="shared" si="2"/>
        <v>294935.31506849319</v>
      </c>
      <c r="M33" s="47"/>
    </row>
    <row r="34" spans="1:13" x14ac:dyDescent="0.3">
      <c r="A34" s="110" t="s">
        <v>166</v>
      </c>
      <c r="B34" s="110" t="s">
        <v>204</v>
      </c>
      <c r="C34" s="111">
        <v>828122</v>
      </c>
      <c r="D34" s="111">
        <v>651369</v>
      </c>
      <c r="E34" s="47">
        <v>0</v>
      </c>
      <c r="F34" s="48">
        <f t="shared" si="3"/>
        <v>1479491</v>
      </c>
      <c r="G34" s="48">
        <f t="shared" si="1"/>
        <v>4053.4</v>
      </c>
      <c r="H34" s="47"/>
      <c r="I34" s="47"/>
      <c r="J34" s="47"/>
      <c r="K34" s="47"/>
      <c r="L34" s="48">
        <f t="shared" si="2"/>
        <v>283738</v>
      </c>
      <c r="M34" s="47"/>
    </row>
    <row r="35" spans="1:13" x14ac:dyDescent="0.3">
      <c r="A35" s="110" t="s">
        <v>166</v>
      </c>
      <c r="B35" s="110" t="s">
        <v>194</v>
      </c>
      <c r="C35" s="111">
        <v>472722</v>
      </c>
      <c r="D35" s="111">
        <v>853921</v>
      </c>
      <c r="E35" s="47">
        <v>0</v>
      </c>
      <c r="F35" s="48">
        <f t="shared" si="3"/>
        <v>1326643</v>
      </c>
      <c r="G35" s="48">
        <f t="shared" si="1"/>
        <v>3634.6383561643834</v>
      </c>
      <c r="H35" s="47"/>
      <c r="I35" s="47"/>
      <c r="J35" s="47"/>
      <c r="K35" s="47"/>
      <c r="L35" s="48">
        <f t="shared" si="2"/>
        <v>254424.68493150684</v>
      </c>
      <c r="M35" s="47"/>
    </row>
    <row r="36" spans="1:13" x14ac:dyDescent="0.3">
      <c r="A36" s="110" t="s">
        <v>166</v>
      </c>
      <c r="B36" s="110" t="s">
        <v>186</v>
      </c>
      <c r="C36" s="111">
        <v>699058</v>
      </c>
      <c r="D36" s="111">
        <v>486656</v>
      </c>
      <c r="E36" s="47">
        <v>0</v>
      </c>
      <c r="F36" s="48">
        <f t="shared" si="3"/>
        <v>1185714</v>
      </c>
      <c r="G36" s="48">
        <f t="shared" si="1"/>
        <v>3248.5315068493151</v>
      </c>
      <c r="H36" s="47"/>
      <c r="I36" s="47"/>
      <c r="J36" s="47"/>
      <c r="K36" s="47"/>
      <c r="L36" s="48">
        <f t="shared" si="2"/>
        <v>227397.20547945207</v>
      </c>
      <c r="M36" s="47"/>
    </row>
    <row r="37" spans="1:13" x14ac:dyDescent="0.3">
      <c r="A37" s="110" t="s">
        <v>166</v>
      </c>
      <c r="B37" s="110" t="s">
        <v>167</v>
      </c>
      <c r="C37" s="111">
        <v>462532</v>
      </c>
      <c r="D37" s="111">
        <v>414644</v>
      </c>
      <c r="E37" s="47">
        <v>0</v>
      </c>
      <c r="F37" s="48">
        <f t="shared" si="3"/>
        <v>877176</v>
      </c>
      <c r="G37" s="48">
        <f t="shared" si="1"/>
        <v>2403.2219178082191</v>
      </c>
      <c r="H37" s="47"/>
      <c r="I37" s="47"/>
      <c r="J37" s="47"/>
      <c r="K37" s="47"/>
      <c r="L37" s="48">
        <f t="shared" si="2"/>
        <v>168225.53424657535</v>
      </c>
      <c r="M37" s="47"/>
    </row>
    <row r="38" spans="1:13" x14ac:dyDescent="0.3">
      <c r="A38" s="110" t="s">
        <v>166</v>
      </c>
      <c r="B38" s="110" t="s">
        <v>182</v>
      </c>
      <c r="C38" s="111">
        <v>460696</v>
      </c>
      <c r="D38" s="111">
        <v>290180</v>
      </c>
      <c r="E38" s="47">
        <v>0</v>
      </c>
      <c r="F38" s="48">
        <f t="shared" si="3"/>
        <v>750876</v>
      </c>
      <c r="G38" s="48">
        <f t="shared" si="1"/>
        <v>2057.1945205479451</v>
      </c>
      <c r="H38" s="47"/>
      <c r="I38" s="47"/>
      <c r="J38" s="47"/>
      <c r="K38" s="47"/>
      <c r="L38" s="48">
        <f t="shared" si="2"/>
        <v>144003.61643835617</v>
      </c>
      <c r="M38" s="47"/>
    </row>
    <row r="39" spans="1:13" x14ac:dyDescent="0.3">
      <c r="A39" s="110" t="s">
        <v>166</v>
      </c>
      <c r="B39" s="110" t="s">
        <v>202</v>
      </c>
      <c r="C39" s="111">
        <v>342033</v>
      </c>
      <c r="D39" s="111">
        <v>241704</v>
      </c>
      <c r="E39" s="47">
        <v>0</v>
      </c>
      <c r="F39" s="48">
        <f t="shared" si="3"/>
        <v>583737</v>
      </c>
      <c r="G39" s="48">
        <f t="shared" si="1"/>
        <v>1599.2794520547945</v>
      </c>
      <c r="H39" s="47"/>
      <c r="I39" s="47"/>
      <c r="J39" s="47"/>
      <c r="K39" s="47"/>
      <c r="L39" s="48">
        <f t="shared" si="2"/>
        <v>111949.56164383562</v>
      </c>
      <c r="M39" s="47"/>
    </row>
    <row r="40" spans="1:13" x14ac:dyDescent="0.3">
      <c r="A40" s="110" t="s">
        <v>166</v>
      </c>
      <c r="B40" s="110" t="s">
        <v>193</v>
      </c>
      <c r="C40" s="111">
        <v>269947</v>
      </c>
      <c r="D40" s="111">
        <v>221324</v>
      </c>
      <c r="E40" s="47">
        <v>0</v>
      </c>
      <c r="F40" s="48">
        <f t="shared" si="3"/>
        <v>491271</v>
      </c>
      <c r="G40" s="48">
        <f t="shared" si="1"/>
        <v>1345.9479452054795</v>
      </c>
      <c r="H40" s="47"/>
      <c r="I40" s="47"/>
      <c r="J40" s="47"/>
      <c r="K40" s="47"/>
      <c r="L40" s="48">
        <f t="shared" si="2"/>
        <v>94216.356164383571</v>
      </c>
      <c r="M40" s="47"/>
    </row>
    <row r="41" spans="1:13" x14ac:dyDescent="0.3">
      <c r="A41" s="110" t="s">
        <v>166</v>
      </c>
      <c r="B41" s="110" t="s">
        <v>189</v>
      </c>
      <c r="C41" s="111">
        <v>235425</v>
      </c>
      <c r="D41" s="111">
        <v>245433</v>
      </c>
      <c r="E41" s="47">
        <v>0</v>
      </c>
      <c r="F41" s="48">
        <f t="shared" si="3"/>
        <v>480858</v>
      </c>
      <c r="G41" s="48">
        <f t="shared" si="1"/>
        <v>1317.4191780821918</v>
      </c>
      <c r="H41" s="47"/>
      <c r="I41" s="47"/>
      <c r="J41" s="47"/>
      <c r="K41" s="47"/>
      <c r="L41" s="48">
        <f t="shared" si="2"/>
        <v>92219.342465753434</v>
      </c>
      <c r="M41" s="47"/>
    </row>
    <row r="42" spans="1:13" x14ac:dyDescent="0.3">
      <c r="A42" s="110" t="s">
        <v>166</v>
      </c>
      <c r="B42" s="110" t="s">
        <v>209</v>
      </c>
      <c r="C42" s="111">
        <v>257095</v>
      </c>
      <c r="D42" s="111">
        <v>150555</v>
      </c>
      <c r="E42" s="47">
        <v>0</v>
      </c>
      <c r="F42" s="48">
        <f t="shared" si="3"/>
        <v>407650</v>
      </c>
      <c r="G42" s="48">
        <f t="shared" si="1"/>
        <v>1116.8493150684931</v>
      </c>
      <c r="H42" s="47"/>
      <c r="I42" s="47"/>
      <c r="J42" s="47"/>
      <c r="K42" s="47"/>
      <c r="L42" s="48">
        <f t="shared" si="2"/>
        <v>78179.452054794514</v>
      </c>
      <c r="M42" s="47"/>
    </row>
    <row r="43" spans="1:13" x14ac:dyDescent="0.3">
      <c r="A43" s="110" t="s">
        <v>166</v>
      </c>
      <c r="B43" s="110" t="s">
        <v>197</v>
      </c>
      <c r="C43" s="111">
        <v>327453</v>
      </c>
      <c r="D43" s="111">
        <v>73819</v>
      </c>
      <c r="E43" s="47">
        <v>0</v>
      </c>
      <c r="F43" s="48">
        <f t="shared" si="3"/>
        <v>401272</v>
      </c>
      <c r="G43" s="48">
        <f t="shared" si="1"/>
        <v>1099.3753424657534</v>
      </c>
      <c r="H43" s="47"/>
      <c r="I43" s="47"/>
      <c r="J43" s="47"/>
      <c r="K43" s="47"/>
      <c r="L43" s="48">
        <f t="shared" si="2"/>
        <v>76956.273972602736</v>
      </c>
      <c r="M43" s="47"/>
    </row>
    <row r="44" spans="1:13" x14ac:dyDescent="0.3">
      <c r="A44" s="110" t="s">
        <v>166</v>
      </c>
      <c r="B44" s="110" t="s">
        <v>199</v>
      </c>
      <c r="C44" s="111">
        <v>304604</v>
      </c>
      <c r="D44" s="111">
        <v>54753</v>
      </c>
      <c r="E44" s="47">
        <v>0</v>
      </c>
      <c r="F44" s="48">
        <f t="shared" si="3"/>
        <v>359357</v>
      </c>
      <c r="G44" s="48">
        <f t="shared" si="1"/>
        <v>984.53972602739725</v>
      </c>
      <c r="H44" s="47"/>
      <c r="I44" s="47"/>
      <c r="J44" s="47"/>
      <c r="K44" s="47"/>
      <c r="L44" s="48">
        <f t="shared" si="2"/>
        <v>68917.780821917811</v>
      </c>
      <c r="M44" s="47"/>
    </row>
    <row r="45" spans="1:13" x14ac:dyDescent="0.3">
      <c r="A45" s="110" t="s">
        <v>166</v>
      </c>
      <c r="B45" s="110" t="s">
        <v>192</v>
      </c>
      <c r="C45" s="111">
        <v>147990</v>
      </c>
      <c r="D45" s="111">
        <v>172118</v>
      </c>
      <c r="E45" s="47">
        <v>0</v>
      </c>
      <c r="F45" s="48">
        <f t="shared" si="3"/>
        <v>320108</v>
      </c>
      <c r="G45" s="48">
        <f t="shared" si="1"/>
        <v>877.00821917808219</v>
      </c>
      <c r="H45" s="47"/>
      <c r="I45" s="47"/>
      <c r="J45" s="47"/>
      <c r="K45" s="47"/>
      <c r="L45" s="48">
        <f t="shared" si="2"/>
        <v>61390.575342465752</v>
      </c>
      <c r="M45" s="47"/>
    </row>
    <row r="46" spans="1:13" x14ac:dyDescent="0.3">
      <c r="A46" s="110" t="s">
        <v>166</v>
      </c>
      <c r="B46" s="110" t="s">
        <v>206</v>
      </c>
      <c r="C46" s="111">
        <v>194603</v>
      </c>
      <c r="D46" s="111">
        <v>83773</v>
      </c>
      <c r="E46" s="47">
        <v>0</v>
      </c>
      <c r="F46" s="48">
        <f t="shared" si="3"/>
        <v>278376</v>
      </c>
      <c r="G46" s="48">
        <f t="shared" si="1"/>
        <v>762.6739726027397</v>
      </c>
      <c r="H46" s="47"/>
      <c r="I46" s="47"/>
      <c r="J46" s="47"/>
      <c r="K46" s="47"/>
      <c r="L46" s="48">
        <f t="shared" si="2"/>
        <v>53387.178082191778</v>
      </c>
      <c r="M46" s="47"/>
    </row>
    <row r="47" spans="1:13" x14ac:dyDescent="0.3">
      <c r="A47" s="110" t="s">
        <v>166</v>
      </c>
      <c r="B47" s="110" t="s">
        <v>203</v>
      </c>
      <c r="C47" s="111">
        <v>48188</v>
      </c>
      <c r="D47" s="111">
        <v>177601</v>
      </c>
      <c r="E47" s="47">
        <v>0</v>
      </c>
      <c r="F47" s="48">
        <f t="shared" si="3"/>
        <v>225789</v>
      </c>
      <c r="G47" s="48">
        <f t="shared" si="1"/>
        <v>618.6</v>
      </c>
      <c r="H47" s="47"/>
      <c r="I47" s="47"/>
      <c r="J47" s="47"/>
      <c r="K47" s="47"/>
      <c r="L47" s="48">
        <f t="shared" si="2"/>
        <v>43302</v>
      </c>
      <c r="M47" s="47"/>
    </row>
    <row r="48" spans="1:13" x14ac:dyDescent="0.3">
      <c r="A48" s="110" t="s">
        <v>166</v>
      </c>
      <c r="B48" s="110" t="s">
        <v>187</v>
      </c>
      <c r="C48" s="111">
        <v>130165</v>
      </c>
      <c r="D48" s="111">
        <v>58865</v>
      </c>
      <c r="E48" s="47">
        <v>0</v>
      </c>
      <c r="F48" s="48">
        <f t="shared" si="3"/>
        <v>189030</v>
      </c>
      <c r="G48" s="48">
        <f t="shared" si="1"/>
        <v>517.89041095890411</v>
      </c>
      <c r="H48" s="47"/>
      <c r="I48" s="47"/>
      <c r="J48" s="47"/>
      <c r="K48" s="47"/>
      <c r="L48" s="48">
        <f t="shared" si="2"/>
        <v>36252.32876712329</v>
      </c>
      <c r="M48" s="47"/>
    </row>
    <row r="49" spans="1:13" x14ac:dyDescent="0.3">
      <c r="A49" s="110" t="s">
        <v>166</v>
      </c>
      <c r="B49" s="110" t="s">
        <v>175</v>
      </c>
      <c r="C49" s="111">
        <v>56704</v>
      </c>
      <c r="D49" s="111">
        <v>82577</v>
      </c>
      <c r="E49" s="47">
        <v>0</v>
      </c>
      <c r="F49" s="48">
        <f t="shared" si="3"/>
        <v>139281</v>
      </c>
      <c r="G49" s="48">
        <f t="shared" si="1"/>
        <v>381.59178082191778</v>
      </c>
      <c r="H49" s="47"/>
      <c r="I49" s="47"/>
      <c r="J49" s="47"/>
      <c r="K49" s="47"/>
      <c r="L49" s="48">
        <f t="shared" si="2"/>
        <v>26711.424657534244</v>
      </c>
      <c r="M49" s="47"/>
    </row>
    <row r="50" spans="1:13" x14ac:dyDescent="0.3">
      <c r="A50" s="110" t="s">
        <v>166</v>
      </c>
      <c r="B50" s="110" t="s">
        <v>181</v>
      </c>
      <c r="C50" s="111">
        <v>30904</v>
      </c>
      <c r="D50" s="111">
        <v>76351</v>
      </c>
      <c r="E50" s="47">
        <v>0</v>
      </c>
      <c r="F50" s="48">
        <f t="shared" si="3"/>
        <v>107255</v>
      </c>
      <c r="G50" s="48">
        <f t="shared" si="1"/>
        <v>293.84931506849313</v>
      </c>
      <c r="H50" s="47"/>
      <c r="I50" s="47"/>
      <c r="J50" s="47"/>
      <c r="K50" s="47"/>
      <c r="L50" s="48">
        <f t="shared" si="2"/>
        <v>20569.452054794518</v>
      </c>
      <c r="M50" s="47"/>
    </row>
    <row r="51" spans="1:13" x14ac:dyDescent="0.3">
      <c r="A51" s="110" t="s">
        <v>166</v>
      </c>
      <c r="B51" s="110" t="s">
        <v>198</v>
      </c>
      <c r="C51" s="111">
        <v>30283</v>
      </c>
      <c r="D51" s="111">
        <v>71589</v>
      </c>
      <c r="E51" s="47">
        <v>0</v>
      </c>
      <c r="F51" s="48">
        <f t="shared" si="3"/>
        <v>101872</v>
      </c>
      <c r="G51" s="48">
        <f t="shared" si="1"/>
        <v>279.1013698630137</v>
      </c>
      <c r="H51" s="47"/>
      <c r="I51" s="47"/>
      <c r="J51" s="47"/>
      <c r="K51" s="47"/>
      <c r="L51" s="48">
        <f t="shared" si="2"/>
        <v>19537.095890410958</v>
      </c>
      <c r="M51" s="47"/>
    </row>
    <row r="52" spans="1:13" x14ac:dyDescent="0.3">
      <c r="A52" s="110" t="s">
        <v>166</v>
      </c>
      <c r="B52" s="110" t="s">
        <v>205</v>
      </c>
      <c r="C52" s="111">
        <v>23663</v>
      </c>
      <c r="D52" s="111">
        <v>53394</v>
      </c>
      <c r="E52" s="47">
        <v>0</v>
      </c>
      <c r="F52" s="48">
        <f t="shared" si="3"/>
        <v>77057</v>
      </c>
      <c r="G52" s="48">
        <f t="shared" si="1"/>
        <v>211.11506849315069</v>
      </c>
      <c r="H52" s="47"/>
      <c r="I52" s="47"/>
      <c r="J52" s="47"/>
      <c r="K52" s="47"/>
      <c r="L52" s="48">
        <f t="shared" si="2"/>
        <v>14778.054794520549</v>
      </c>
      <c r="M52" s="47"/>
    </row>
    <row r="53" spans="1:13" x14ac:dyDescent="0.3">
      <c r="A53" s="110" t="s">
        <v>183</v>
      </c>
      <c r="B53" s="110" t="s">
        <v>211</v>
      </c>
      <c r="C53" s="111">
        <v>1394842.22</v>
      </c>
      <c r="D53" s="111">
        <v>2768381.57</v>
      </c>
      <c r="E53" s="47">
        <v>0</v>
      </c>
      <c r="F53" s="48">
        <f t="shared" si="3"/>
        <v>4163223.79</v>
      </c>
      <c r="G53" s="48">
        <f t="shared" si="1"/>
        <v>11406.092575342465</v>
      </c>
      <c r="H53" s="47"/>
      <c r="I53" s="47"/>
      <c r="J53" s="47"/>
      <c r="K53" s="47"/>
      <c r="L53" s="48">
        <f t="shared" si="2"/>
        <v>798426.48027397261</v>
      </c>
      <c r="M53" s="47"/>
    </row>
    <row r="54" spans="1:13" x14ac:dyDescent="0.3">
      <c r="A54" s="110" t="s">
        <v>183</v>
      </c>
      <c r="B54" s="110" t="s">
        <v>212</v>
      </c>
      <c r="C54" s="111">
        <v>811637.62320000003</v>
      </c>
      <c r="D54" s="111">
        <v>664006.72919999994</v>
      </c>
      <c r="E54" s="47">
        <v>0</v>
      </c>
      <c r="F54" s="48">
        <f t="shared" si="3"/>
        <v>1475644.3524</v>
      </c>
      <c r="G54" s="48">
        <f t="shared" si="1"/>
        <v>4042.8612394520546</v>
      </c>
      <c r="H54" s="47"/>
      <c r="I54" s="47"/>
      <c r="J54" s="47"/>
      <c r="K54" s="47"/>
      <c r="L54" s="48">
        <f t="shared" si="2"/>
        <v>283000.28676164383</v>
      </c>
      <c r="M54" s="47"/>
    </row>
    <row r="55" spans="1:13" x14ac:dyDescent="0.3">
      <c r="A55" s="110" t="s">
        <v>183</v>
      </c>
      <c r="B55" s="110" t="s">
        <v>215</v>
      </c>
      <c r="C55" s="111">
        <v>439903.36609999998</v>
      </c>
      <c r="D55" s="111">
        <v>203014.0569</v>
      </c>
      <c r="E55" s="47">
        <v>0</v>
      </c>
      <c r="F55" s="48">
        <f t="shared" si="3"/>
        <v>642917.42299999995</v>
      </c>
      <c r="G55" s="48">
        <f t="shared" si="1"/>
        <v>1761.4175972602739</v>
      </c>
      <c r="H55" s="47"/>
      <c r="I55" s="47"/>
      <c r="J55" s="47"/>
      <c r="K55" s="47"/>
      <c r="L55" s="48">
        <f t="shared" si="2"/>
        <v>123299.23180821916</v>
      </c>
      <c r="M55" s="47"/>
    </row>
    <row r="56" spans="1:13" x14ac:dyDescent="0.3">
      <c r="A56" s="110" t="s">
        <v>183</v>
      </c>
      <c r="B56" s="110" t="s">
        <v>213</v>
      </c>
      <c r="C56" s="111">
        <v>267215.1716</v>
      </c>
      <c r="D56" s="111">
        <v>111264.60189999999</v>
      </c>
      <c r="E56" s="47">
        <v>0</v>
      </c>
      <c r="F56" s="48">
        <f t="shared" si="3"/>
        <v>378479.77350000001</v>
      </c>
      <c r="G56" s="48">
        <f t="shared" si="1"/>
        <v>1036.9308863013698</v>
      </c>
      <c r="H56" s="47"/>
      <c r="I56" s="47"/>
      <c r="J56" s="47"/>
      <c r="K56" s="47"/>
      <c r="L56" s="48">
        <f t="shared" si="2"/>
        <v>72585.162041095886</v>
      </c>
      <c r="M56" s="47"/>
    </row>
    <row r="57" spans="1:13" x14ac:dyDescent="0.3">
      <c r="A57" s="110" t="s">
        <v>183</v>
      </c>
      <c r="B57" s="110" t="s">
        <v>222</v>
      </c>
      <c r="C57" s="111">
        <v>155142.02369999999</v>
      </c>
      <c r="D57" s="111">
        <v>52795.238060000003</v>
      </c>
      <c r="E57" s="47">
        <v>0</v>
      </c>
      <c r="F57" s="48">
        <f t="shared" si="3"/>
        <v>207937.26175999999</v>
      </c>
      <c r="G57" s="48">
        <f t="shared" si="1"/>
        <v>569.69112810958904</v>
      </c>
      <c r="H57" s="47"/>
      <c r="I57" s="47"/>
      <c r="J57" s="47"/>
      <c r="K57" s="47"/>
      <c r="L57" s="48">
        <f t="shared" si="2"/>
        <v>39878.378967671233</v>
      </c>
      <c r="M57" s="47"/>
    </row>
    <row r="58" spans="1:13" x14ac:dyDescent="0.3">
      <c r="A58" s="110" t="s">
        <v>183</v>
      </c>
      <c r="B58" s="110" t="s">
        <v>214</v>
      </c>
      <c r="C58" s="111">
        <v>46246.900320000001</v>
      </c>
      <c r="D58" s="111">
        <v>146911.70009999999</v>
      </c>
      <c r="E58" s="47">
        <v>0</v>
      </c>
      <c r="F58" s="48">
        <f t="shared" si="3"/>
        <v>193158.60041999997</v>
      </c>
      <c r="G58" s="48">
        <f t="shared" si="1"/>
        <v>529.20164498630129</v>
      </c>
      <c r="H58" s="47"/>
      <c r="I58" s="47"/>
      <c r="J58" s="47"/>
      <c r="K58" s="47"/>
      <c r="L58" s="48">
        <f t="shared" si="2"/>
        <v>37044.115149041092</v>
      </c>
      <c r="M58" s="47"/>
    </row>
    <row r="59" spans="1:13" x14ac:dyDescent="0.3">
      <c r="A59" s="110" t="s">
        <v>183</v>
      </c>
      <c r="B59" s="110" t="s">
        <v>216</v>
      </c>
      <c r="C59" s="111">
        <v>67835.190570000006</v>
      </c>
      <c r="D59" s="111">
        <v>97738.227199999994</v>
      </c>
      <c r="E59" s="47">
        <v>0</v>
      </c>
      <c r="F59" s="48">
        <f t="shared" si="3"/>
        <v>165573.41777</v>
      </c>
      <c r="G59" s="48">
        <f t="shared" si="1"/>
        <v>453.62580210958902</v>
      </c>
      <c r="H59" s="47"/>
      <c r="I59" s="47"/>
      <c r="J59" s="47"/>
      <c r="K59" s="47"/>
      <c r="L59" s="48">
        <f t="shared" si="2"/>
        <v>31753.806147671232</v>
      </c>
      <c r="M59" s="47"/>
    </row>
    <row r="60" spans="1:13" x14ac:dyDescent="0.3">
      <c r="A60" s="110" t="s">
        <v>183</v>
      </c>
      <c r="B60" s="110" t="s">
        <v>217</v>
      </c>
      <c r="C60" s="111">
        <v>54168.036840000001</v>
      </c>
      <c r="D60" s="111">
        <v>64080.939380000003</v>
      </c>
      <c r="E60" s="47">
        <v>0</v>
      </c>
      <c r="F60" s="48">
        <f t="shared" si="3"/>
        <v>118248.97622000001</v>
      </c>
      <c r="G60" s="48">
        <f t="shared" si="1"/>
        <v>323.96979786301375</v>
      </c>
      <c r="H60" s="47"/>
      <c r="I60" s="47"/>
      <c r="J60" s="47"/>
      <c r="K60" s="47"/>
      <c r="L60" s="48">
        <f t="shared" si="2"/>
        <v>22677.885850410963</v>
      </c>
      <c r="M60" s="47"/>
    </row>
    <row r="61" spans="1:13" x14ac:dyDescent="0.3">
      <c r="A61" s="110" t="s">
        <v>183</v>
      </c>
      <c r="B61" s="110" t="s">
        <v>219</v>
      </c>
      <c r="C61" s="111">
        <v>36218.408889999999</v>
      </c>
      <c r="D61" s="111">
        <v>67479.425839999996</v>
      </c>
      <c r="E61" s="47">
        <v>0</v>
      </c>
      <c r="F61" s="48">
        <f t="shared" si="3"/>
        <v>103697.83473</v>
      </c>
      <c r="G61" s="48">
        <f t="shared" si="1"/>
        <v>284.10365679452053</v>
      </c>
      <c r="H61" s="47"/>
      <c r="I61" s="47"/>
      <c r="J61" s="47"/>
      <c r="K61" s="47"/>
      <c r="L61" s="48">
        <f t="shared" si="2"/>
        <v>19887.255975616437</v>
      </c>
      <c r="M61" s="47"/>
    </row>
    <row r="62" spans="1:13" x14ac:dyDescent="0.3">
      <c r="A62" s="110" t="s">
        <v>183</v>
      </c>
      <c r="B62" s="110" t="s">
        <v>233</v>
      </c>
      <c r="C62" s="111">
        <v>44836.361620000003</v>
      </c>
      <c r="D62" s="111">
        <v>39724.367290000002</v>
      </c>
      <c r="E62" s="47">
        <v>0</v>
      </c>
      <c r="F62" s="48">
        <f t="shared" si="3"/>
        <v>84560.728910000005</v>
      </c>
      <c r="G62" s="48">
        <f t="shared" si="1"/>
        <v>231.67322989041097</v>
      </c>
      <c r="H62" s="47"/>
      <c r="I62" s="47"/>
      <c r="J62" s="47"/>
      <c r="K62" s="47"/>
      <c r="L62" s="48">
        <f t="shared" si="2"/>
        <v>16217.126092328768</v>
      </c>
      <c r="M62" s="47"/>
    </row>
    <row r="63" spans="1:13" x14ac:dyDescent="0.3">
      <c r="A63" s="110" t="s">
        <v>183</v>
      </c>
      <c r="B63" s="110" t="s">
        <v>230</v>
      </c>
      <c r="C63" s="111">
        <v>17910.53412</v>
      </c>
      <c r="D63" s="111">
        <v>46744.435039999997</v>
      </c>
      <c r="E63" s="47">
        <v>0</v>
      </c>
      <c r="F63" s="48">
        <f t="shared" si="3"/>
        <v>64654.969159999993</v>
      </c>
      <c r="G63" s="48">
        <f t="shared" si="1"/>
        <v>177.13690180821916</v>
      </c>
      <c r="H63" s="47"/>
      <c r="I63" s="47"/>
      <c r="J63" s="47"/>
      <c r="K63" s="47"/>
      <c r="L63" s="48">
        <f t="shared" si="2"/>
        <v>12399.583126575342</v>
      </c>
      <c r="M63" s="47"/>
    </row>
    <row r="64" spans="1:13" x14ac:dyDescent="0.3">
      <c r="A64" s="110" t="s">
        <v>183</v>
      </c>
      <c r="B64" s="110" t="s">
        <v>234</v>
      </c>
      <c r="C64" s="111">
        <v>10802.584080000001</v>
      </c>
      <c r="D64" s="111">
        <v>43758.991549999999</v>
      </c>
      <c r="E64" s="47">
        <v>0</v>
      </c>
      <c r="F64" s="48">
        <f t="shared" si="3"/>
        <v>54561.575629999999</v>
      </c>
      <c r="G64" s="48">
        <f t="shared" si="1"/>
        <v>149.48376884931506</v>
      </c>
      <c r="H64" s="47"/>
      <c r="I64" s="47"/>
      <c r="J64" s="47"/>
      <c r="K64" s="47"/>
      <c r="L64" s="48">
        <f t="shared" si="2"/>
        <v>10463.863819452054</v>
      </c>
      <c r="M64" s="47"/>
    </row>
    <row r="65" spans="1:13" x14ac:dyDescent="0.3">
      <c r="A65" s="110" t="s">
        <v>183</v>
      </c>
      <c r="B65" s="110" t="s">
        <v>220</v>
      </c>
      <c r="C65" s="111">
        <v>20705.0255</v>
      </c>
      <c r="D65" s="111">
        <v>33601.760439999998</v>
      </c>
      <c r="E65" s="47">
        <v>0</v>
      </c>
      <c r="F65" s="48">
        <f t="shared" si="3"/>
        <v>54306.785940000002</v>
      </c>
      <c r="G65" s="48">
        <f t="shared" si="1"/>
        <v>148.7857149041096</v>
      </c>
      <c r="H65" s="47"/>
      <c r="I65" s="47"/>
      <c r="J65" s="47"/>
      <c r="K65" s="47"/>
      <c r="L65" s="48">
        <f t="shared" si="2"/>
        <v>10415.000043287671</v>
      </c>
      <c r="M65" s="47"/>
    </row>
    <row r="66" spans="1:13" x14ac:dyDescent="0.3">
      <c r="A66" s="110" t="s">
        <v>183</v>
      </c>
      <c r="B66" s="110" t="s">
        <v>223</v>
      </c>
      <c r="C66" s="111">
        <v>8906.7069530000008</v>
      </c>
      <c r="D66" s="111">
        <v>37720.862529999999</v>
      </c>
      <c r="E66" s="47">
        <v>0</v>
      </c>
      <c r="F66" s="48">
        <f t="shared" si="3"/>
        <v>46627.569482999999</v>
      </c>
      <c r="G66" s="48">
        <f t="shared" si="1"/>
        <v>127.74676570684932</v>
      </c>
      <c r="H66" s="47"/>
      <c r="I66" s="47"/>
      <c r="J66" s="47"/>
      <c r="K66" s="47"/>
      <c r="L66" s="48">
        <f t="shared" si="2"/>
        <v>8942.273599479453</v>
      </c>
      <c r="M66" s="47"/>
    </row>
    <row r="67" spans="1:13" x14ac:dyDescent="0.3">
      <c r="A67" s="110" t="s">
        <v>183</v>
      </c>
      <c r="B67" s="110" t="s">
        <v>218</v>
      </c>
      <c r="C67" s="111">
        <v>22032.15495</v>
      </c>
      <c r="D67" s="111">
        <v>24223.284930000002</v>
      </c>
      <c r="E67" s="47">
        <v>0</v>
      </c>
      <c r="F67" s="48">
        <f t="shared" si="3"/>
        <v>46255.439880000005</v>
      </c>
      <c r="G67" s="48">
        <f t="shared" si="1"/>
        <v>126.72723254794522</v>
      </c>
      <c r="H67" s="47"/>
      <c r="I67" s="47"/>
      <c r="J67" s="47"/>
      <c r="K67" s="47"/>
      <c r="L67" s="48">
        <f t="shared" si="2"/>
        <v>8870.9062783561658</v>
      </c>
      <c r="M67" s="47"/>
    </row>
    <row r="68" spans="1:13" x14ac:dyDescent="0.3">
      <c r="A68" s="110" t="s">
        <v>183</v>
      </c>
      <c r="B68" s="110" t="s">
        <v>221</v>
      </c>
      <c r="C68" s="111">
        <v>10261.76024</v>
      </c>
      <c r="D68" s="111">
        <v>32215.589929999998</v>
      </c>
      <c r="E68" s="47">
        <v>0</v>
      </c>
      <c r="F68" s="48">
        <f t="shared" si="3"/>
        <v>42477.350169999998</v>
      </c>
      <c r="G68" s="48">
        <f t="shared" si="1"/>
        <v>116.37630183561643</v>
      </c>
      <c r="H68" s="47"/>
      <c r="I68" s="47"/>
      <c r="J68" s="47"/>
      <c r="K68" s="47"/>
      <c r="L68" s="48">
        <f t="shared" si="2"/>
        <v>8146.3411284931499</v>
      </c>
      <c r="M68" s="47"/>
    </row>
    <row r="69" spans="1:13" x14ac:dyDescent="0.3">
      <c r="A69" s="110" t="s">
        <v>183</v>
      </c>
      <c r="B69" s="110" t="s">
        <v>224</v>
      </c>
      <c r="C69" s="111">
        <v>14490.28774</v>
      </c>
      <c r="D69" s="111">
        <v>14837.313399999999</v>
      </c>
      <c r="E69" s="47">
        <v>0</v>
      </c>
      <c r="F69" s="48">
        <f t="shared" si="3"/>
        <v>29327.601139999999</v>
      </c>
      <c r="G69" s="48">
        <f t="shared" si="1"/>
        <v>80.349592164383552</v>
      </c>
      <c r="H69" s="47"/>
      <c r="I69" s="47"/>
      <c r="J69" s="47"/>
      <c r="K69" s="47"/>
      <c r="L69" s="48">
        <f t="shared" si="2"/>
        <v>5624.471451506849</v>
      </c>
      <c r="M69" s="47"/>
    </row>
    <row r="70" spans="1:13" x14ac:dyDescent="0.3">
      <c r="A70" s="110" t="s">
        <v>183</v>
      </c>
      <c r="B70" s="110" t="s">
        <v>226</v>
      </c>
      <c r="C70" s="111">
        <v>3772.5482940000002</v>
      </c>
      <c r="D70" s="111">
        <v>20156.249260000001</v>
      </c>
      <c r="E70" s="47">
        <v>0</v>
      </c>
      <c r="F70" s="48">
        <f t="shared" si="3"/>
        <v>23928.797554000001</v>
      </c>
      <c r="G70" s="48">
        <f t="shared" ref="G70:G81" si="4">F70/365</f>
        <v>65.558349463013698</v>
      </c>
      <c r="H70" s="47"/>
      <c r="I70" s="47"/>
      <c r="J70" s="47"/>
      <c r="K70" s="47"/>
      <c r="L70" s="48">
        <f t="shared" ref="L70:L81" si="5">B$1*G70</f>
        <v>4589.0844624109586</v>
      </c>
      <c r="M70" s="47"/>
    </row>
    <row r="71" spans="1:13" x14ac:dyDescent="0.3">
      <c r="A71" s="110" t="s">
        <v>183</v>
      </c>
      <c r="B71" s="110" t="s">
        <v>225</v>
      </c>
      <c r="C71" s="111">
        <v>2891.5259970000002</v>
      </c>
      <c r="D71" s="111">
        <v>19479.353660000001</v>
      </c>
      <c r="E71" s="47">
        <v>0</v>
      </c>
      <c r="F71" s="48">
        <f t="shared" si="3"/>
        <v>22370.879657000001</v>
      </c>
      <c r="G71" s="48">
        <f t="shared" si="4"/>
        <v>61.290081252054797</v>
      </c>
      <c r="H71" s="47"/>
      <c r="I71" s="47"/>
      <c r="J71" s="47"/>
      <c r="K71" s="47"/>
      <c r="L71" s="48">
        <f t="shared" si="5"/>
        <v>4290.3056876438359</v>
      </c>
      <c r="M71" s="47"/>
    </row>
    <row r="72" spans="1:13" x14ac:dyDescent="0.3">
      <c r="A72" s="110" t="s">
        <v>183</v>
      </c>
      <c r="B72" s="110" t="s">
        <v>227</v>
      </c>
      <c r="C72" s="111">
        <v>7564.8742460000003</v>
      </c>
      <c r="D72" s="111">
        <v>12832.743829999999</v>
      </c>
      <c r="E72" s="47">
        <v>0</v>
      </c>
      <c r="F72" s="48">
        <f t="shared" ref="F72:F81" si="6">SUM(B72:D72)</f>
        <v>20397.618075999999</v>
      </c>
      <c r="G72" s="48">
        <f t="shared" si="4"/>
        <v>55.883885139726026</v>
      </c>
      <c r="H72" s="47"/>
      <c r="I72" s="47"/>
      <c r="J72" s="47"/>
      <c r="K72" s="47"/>
      <c r="L72" s="48">
        <f t="shared" si="5"/>
        <v>3911.8719597808217</v>
      </c>
      <c r="M72" s="47"/>
    </row>
    <row r="73" spans="1:13" x14ac:dyDescent="0.3">
      <c r="A73" s="110" t="s">
        <v>183</v>
      </c>
      <c r="B73" s="110" t="s">
        <v>235</v>
      </c>
      <c r="C73" s="111">
        <v>3344.522813</v>
      </c>
      <c r="D73" s="111">
        <v>15106.694240000001</v>
      </c>
      <c r="E73" s="47">
        <v>0</v>
      </c>
      <c r="F73" s="48">
        <f t="shared" si="6"/>
        <v>18451.217053</v>
      </c>
      <c r="G73" s="48">
        <f t="shared" si="4"/>
        <v>50.551279597260276</v>
      </c>
      <c r="H73" s="47"/>
      <c r="I73" s="47"/>
      <c r="J73" s="47"/>
      <c r="K73" s="47"/>
      <c r="L73" s="48">
        <f t="shared" si="5"/>
        <v>3538.5895718082193</v>
      </c>
      <c r="M73" s="47"/>
    </row>
    <row r="74" spans="1:13" x14ac:dyDescent="0.3">
      <c r="A74" s="110" t="s">
        <v>183</v>
      </c>
      <c r="B74" s="110" t="s">
        <v>229</v>
      </c>
      <c r="C74" s="111">
        <v>2589.9679890000002</v>
      </c>
      <c r="D74" s="111">
        <v>14163.94133</v>
      </c>
      <c r="E74" s="47">
        <v>0</v>
      </c>
      <c r="F74" s="48">
        <f t="shared" si="6"/>
        <v>16753.909318999999</v>
      </c>
      <c r="G74" s="48">
        <f t="shared" si="4"/>
        <v>45.901121421917807</v>
      </c>
      <c r="H74" s="47"/>
      <c r="I74" s="47"/>
      <c r="J74" s="47"/>
      <c r="K74" s="47"/>
      <c r="L74" s="48">
        <f t="shared" si="5"/>
        <v>3213.0784995342465</v>
      </c>
      <c r="M74" s="47"/>
    </row>
    <row r="75" spans="1:13" x14ac:dyDescent="0.3">
      <c r="A75" s="110" t="s">
        <v>183</v>
      </c>
      <c r="B75" s="110" t="s">
        <v>237</v>
      </c>
      <c r="C75" s="111">
        <v>5168</v>
      </c>
      <c r="D75" s="111">
        <v>11389.18</v>
      </c>
      <c r="E75" s="47">
        <v>0</v>
      </c>
      <c r="F75" s="48">
        <f t="shared" si="6"/>
        <v>16557.18</v>
      </c>
      <c r="G75" s="48">
        <f t="shared" si="4"/>
        <v>45.362136986301373</v>
      </c>
      <c r="H75" s="47"/>
      <c r="I75" s="47"/>
      <c r="J75" s="47"/>
      <c r="K75" s="47"/>
      <c r="L75" s="48">
        <f t="shared" si="5"/>
        <v>3175.3495890410959</v>
      </c>
      <c r="M75" s="47"/>
    </row>
    <row r="76" spans="1:13" x14ac:dyDescent="0.3">
      <c r="A76" s="110" t="s">
        <v>183</v>
      </c>
      <c r="B76" s="110" t="s">
        <v>231</v>
      </c>
      <c r="C76" s="111">
        <v>1333.075865</v>
      </c>
      <c r="D76" s="111">
        <v>14645.415999999999</v>
      </c>
      <c r="E76" s="47">
        <v>0</v>
      </c>
      <c r="F76" s="48">
        <f t="shared" si="6"/>
        <v>15978.491865</v>
      </c>
      <c r="G76" s="48">
        <f t="shared" si="4"/>
        <v>43.77669004109589</v>
      </c>
      <c r="H76" s="47"/>
      <c r="I76" s="47"/>
      <c r="J76" s="47"/>
      <c r="K76" s="47"/>
      <c r="L76" s="48">
        <f t="shared" si="5"/>
        <v>3064.3683028767123</v>
      </c>
      <c r="M76" s="47"/>
    </row>
    <row r="77" spans="1:13" x14ac:dyDescent="0.3">
      <c r="A77" s="110" t="s">
        <v>183</v>
      </c>
      <c r="B77" s="110" t="s">
        <v>236</v>
      </c>
      <c r="C77" s="111">
        <v>3119.8695790000002</v>
      </c>
      <c r="D77" s="111">
        <v>11089.70859</v>
      </c>
      <c r="E77" s="47">
        <v>0</v>
      </c>
      <c r="F77" s="48">
        <f t="shared" si="6"/>
        <v>14209.578169</v>
      </c>
      <c r="G77" s="48">
        <f t="shared" si="4"/>
        <v>38.93035114794521</v>
      </c>
      <c r="H77" s="47"/>
      <c r="I77" s="47"/>
      <c r="J77" s="47"/>
      <c r="K77" s="47"/>
      <c r="L77" s="48">
        <f t="shared" si="5"/>
        <v>2725.1245803561646</v>
      </c>
      <c r="M77" s="47"/>
    </row>
    <row r="78" spans="1:13" x14ac:dyDescent="0.3">
      <c r="A78" s="110" t="s">
        <v>183</v>
      </c>
      <c r="B78" s="110" t="s">
        <v>232</v>
      </c>
      <c r="C78" s="111">
        <v>1571.0968820000001</v>
      </c>
      <c r="D78" s="111">
        <v>8960.9247230000001</v>
      </c>
      <c r="E78" s="47">
        <v>0</v>
      </c>
      <c r="F78" s="48">
        <f t="shared" si="6"/>
        <v>10532.021605</v>
      </c>
      <c r="G78" s="48">
        <f t="shared" si="4"/>
        <v>28.854853712328765</v>
      </c>
      <c r="H78" s="47"/>
      <c r="I78" s="47"/>
      <c r="J78" s="47"/>
      <c r="K78" s="47"/>
      <c r="L78" s="48">
        <f t="shared" si="5"/>
        <v>2019.8397598630136</v>
      </c>
      <c r="M78" s="47"/>
    </row>
    <row r="79" spans="1:13" x14ac:dyDescent="0.3">
      <c r="A79" s="110" t="s">
        <v>183</v>
      </c>
      <c r="B79" s="110" t="s">
        <v>228</v>
      </c>
      <c r="C79" s="111">
        <v>1337.014893</v>
      </c>
      <c r="D79" s="111">
        <v>8194.403069</v>
      </c>
      <c r="E79" s="47">
        <v>0</v>
      </c>
      <c r="F79" s="48">
        <f t="shared" si="6"/>
        <v>9531.4179619999995</v>
      </c>
      <c r="G79" s="48">
        <f t="shared" si="4"/>
        <v>26.113473868493148</v>
      </c>
      <c r="H79" s="47"/>
      <c r="I79" s="47"/>
      <c r="J79" s="47"/>
      <c r="K79" s="47"/>
      <c r="L79" s="48">
        <f t="shared" si="5"/>
        <v>1827.9431707945205</v>
      </c>
      <c r="M79" s="47"/>
    </row>
    <row r="80" spans="1:13" x14ac:dyDescent="0.3">
      <c r="A80" s="110" t="s">
        <v>183</v>
      </c>
      <c r="B80" s="110" t="s">
        <v>238</v>
      </c>
      <c r="C80" s="111">
        <v>1632.0719939999999</v>
      </c>
      <c r="D80" s="111">
        <v>4707.9535450000003</v>
      </c>
      <c r="E80" s="47">
        <v>0</v>
      </c>
      <c r="F80" s="48">
        <f t="shared" si="6"/>
        <v>6340.0255390000002</v>
      </c>
      <c r="G80" s="48">
        <f t="shared" si="4"/>
        <v>17.369932983561643</v>
      </c>
      <c r="H80" s="47"/>
      <c r="I80" s="47"/>
      <c r="J80" s="47"/>
      <c r="K80" s="47"/>
      <c r="L80" s="48">
        <f t="shared" si="5"/>
        <v>1215.8953088493149</v>
      </c>
      <c r="M80" s="47"/>
    </row>
    <row r="81" spans="1:13" x14ac:dyDescent="0.3">
      <c r="A81" s="110" t="s">
        <v>185</v>
      </c>
      <c r="B81" s="110" t="s">
        <v>185</v>
      </c>
      <c r="C81" s="111">
        <v>30010961</v>
      </c>
      <c r="D81" s="111">
        <v>4918179</v>
      </c>
      <c r="E81" s="47">
        <v>0</v>
      </c>
      <c r="F81" s="48">
        <f t="shared" si="6"/>
        <v>34929140</v>
      </c>
      <c r="G81" s="48">
        <f t="shared" si="4"/>
        <v>95696.273972602736</v>
      </c>
      <c r="H81" s="47"/>
      <c r="I81" s="47"/>
      <c r="J81" s="47"/>
      <c r="K81" s="47"/>
      <c r="L81" s="48">
        <f t="shared" si="5"/>
        <v>6698739.1780821914</v>
      </c>
      <c r="M81" s="47"/>
    </row>
    <row r="82" spans="1:13" x14ac:dyDescent="0.3">
      <c r="A82" s="97" t="s">
        <v>173</v>
      </c>
      <c r="B82" s="97"/>
      <c r="C82" s="112">
        <f t="shared" ref="C82:G82" si="7">SUM(C21:C81)</f>
        <v>81542798.924975008</v>
      </c>
      <c r="D82" s="112">
        <f t="shared" si="7"/>
        <v>40476730.661936976</v>
      </c>
      <c r="E82" s="112">
        <f t="shared" si="7"/>
        <v>0</v>
      </c>
      <c r="F82" s="112">
        <f t="shared" si="7"/>
        <v>122019529.58691199</v>
      </c>
      <c r="G82" s="112">
        <f t="shared" si="7"/>
        <v>334300.08106003288</v>
      </c>
      <c r="L82" s="113">
        <f>SUM(L5:L81)</f>
        <v>48316094.339955732</v>
      </c>
    </row>
    <row r="89" spans="1:13" x14ac:dyDescent="0.3">
      <c r="G89" s="1" t="s">
        <v>267</v>
      </c>
      <c r="H89" s="1"/>
      <c r="I89" s="1">
        <v>334300</v>
      </c>
      <c r="J89" s="1"/>
      <c r="K89" s="1"/>
    </row>
    <row r="90" spans="1:13" x14ac:dyDescent="0.3">
      <c r="G90" s="1" t="s">
        <v>268</v>
      </c>
      <c r="H90" s="1"/>
      <c r="I90" s="1">
        <f>I89*1</f>
        <v>334300</v>
      </c>
      <c r="J90" s="121">
        <f>I90/1024</f>
        <v>326.46484375</v>
      </c>
      <c r="K90" s="1" t="s">
        <v>269</v>
      </c>
    </row>
    <row r="91" spans="1:13" x14ac:dyDescent="0.3">
      <c r="G91" t="s">
        <v>270</v>
      </c>
      <c r="I91" s="1">
        <f>I90*1</f>
        <v>334300</v>
      </c>
      <c r="J91" s="120">
        <f>I91*0.25/1024</f>
        <v>81.6162109375</v>
      </c>
      <c r="K91" s="1" t="s">
        <v>269</v>
      </c>
    </row>
  </sheetData>
  <mergeCells count="2">
    <mergeCell ref="C3:G3"/>
    <mergeCell ref="H3:K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BF060-2908-4AB6-A3D2-A7A86CB5B188}">
  <sheetPr>
    <tabColor theme="4" tint="0.39997558519241921"/>
  </sheetPr>
  <dimension ref="A1:I9"/>
  <sheetViews>
    <sheetView workbookViewId="0">
      <selection activeCell="A9" sqref="A9"/>
    </sheetView>
  </sheetViews>
  <sheetFormatPr defaultRowHeight="14.4" x14ac:dyDescent="0.3"/>
  <cols>
    <col min="1" max="1" width="3.33203125" customWidth="1"/>
    <col min="2" max="2" width="38.44140625" customWidth="1"/>
    <col min="3" max="3" width="23.33203125" customWidth="1"/>
    <col min="4" max="4" width="31.44140625" customWidth="1"/>
    <col min="5" max="5" width="50.6640625" style="3" customWidth="1"/>
  </cols>
  <sheetData>
    <row r="1" spans="1:9" x14ac:dyDescent="0.3">
      <c r="A1" s="115" t="s">
        <v>0</v>
      </c>
      <c r="B1" s="115" t="s">
        <v>271</v>
      </c>
      <c r="C1" s="115" t="s">
        <v>272</v>
      </c>
      <c r="D1" s="116" t="s">
        <v>273</v>
      </c>
      <c r="E1" s="117" t="s">
        <v>274</v>
      </c>
      <c r="F1" s="47"/>
      <c r="G1" s="47"/>
      <c r="H1" s="47"/>
      <c r="I1" s="47"/>
    </row>
    <row r="2" spans="1:9" ht="28.8" x14ac:dyDescent="0.3">
      <c r="A2" s="47">
        <v>1</v>
      </c>
      <c r="B2" s="47" t="s">
        <v>275</v>
      </c>
      <c r="C2" s="47" t="s">
        <v>276</v>
      </c>
      <c r="D2" s="47" t="s">
        <v>277</v>
      </c>
      <c r="E2" s="118" t="s">
        <v>278</v>
      </c>
      <c r="F2" s="47"/>
      <c r="G2" s="47"/>
      <c r="H2" s="47"/>
      <c r="I2" s="47"/>
    </row>
    <row r="3" spans="1:9" x14ac:dyDescent="0.3">
      <c r="A3" s="47">
        <v>2</v>
      </c>
      <c r="B3" s="47" t="s">
        <v>279</v>
      </c>
      <c r="C3" s="47" t="s">
        <v>280</v>
      </c>
      <c r="D3" s="47"/>
      <c r="E3" s="118"/>
      <c r="F3" s="47"/>
      <c r="G3" s="47"/>
      <c r="H3" s="47"/>
      <c r="I3" s="47"/>
    </row>
    <row r="4" spans="1:9" x14ac:dyDescent="0.3">
      <c r="A4" s="47">
        <v>3</v>
      </c>
      <c r="B4" s="47" t="s">
        <v>281</v>
      </c>
      <c r="C4" s="47" t="s">
        <v>282</v>
      </c>
      <c r="D4" s="47"/>
      <c r="E4" s="118"/>
      <c r="F4" s="47"/>
      <c r="G4" s="47"/>
      <c r="H4" s="47"/>
      <c r="I4" s="47"/>
    </row>
    <row r="5" spans="1:9" x14ac:dyDescent="0.3">
      <c r="A5" s="47">
        <v>4</v>
      </c>
      <c r="B5" s="47" t="s">
        <v>283</v>
      </c>
      <c r="C5" s="47" t="s">
        <v>284</v>
      </c>
      <c r="D5" s="47"/>
      <c r="E5" s="118"/>
      <c r="F5" s="47"/>
      <c r="G5" s="47"/>
      <c r="H5" s="47"/>
      <c r="I5" s="47"/>
    </row>
    <row r="6" spans="1:9" x14ac:dyDescent="0.3">
      <c r="A6" s="47">
        <v>5</v>
      </c>
      <c r="B6" s="47" t="s">
        <v>285</v>
      </c>
      <c r="C6" s="47" t="s">
        <v>286</v>
      </c>
      <c r="D6" s="47"/>
      <c r="E6" s="118"/>
      <c r="F6" s="47"/>
      <c r="G6" s="47"/>
      <c r="H6" s="47"/>
      <c r="I6" s="47"/>
    </row>
    <row r="7" spans="1:9" x14ac:dyDescent="0.3">
      <c r="A7" s="47">
        <v>6</v>
      </c>
      <c r="B7" s="47" t="s">
        <v>287</v>
      </c>
      <c r="C7" s="47" t="s">
        <v>288</v>
      </c>
      <c r="D7" s="47"/>
      <c r="E7" s="118"/>
      <c r="F7" s="47"/>
      <c r="G7" s="47"/>
      <c r="H7" s="47"/>
      <c r="I7" s="47"/>
    </row>
    <row r="8" spans="1:9" x14ac:dyDescent="0.3">
      <c r="A8" s="47">
        <v>7</v>
      </c>
      <c r="B8" s="47" t="s">
        <v>289</v>
      </c>
      <c r="C8" s="47" t="s">
        <v>290</v>
      </c>
      <c r="D8" s="47"/>
      <c r="E8" s="118"/>
      <c r="F8" s="47"/>
      <c r="G8" s="47"/>
      <c r="H8" s="47"/>
      <c r="I8" s="47"/>
    </row>
    <row r="9" spans="1:9" x14ac:dyDescent="0.3">
      <c r="A9" s="47">
        <v>8</v>
      </c>
      <c r="B9" s="47" t="s">
        <v>291</v>
      </c>
      <c r="C9" s="47" t="s">
        <v>292</v>
      </c>
      <c r="D9" s="47"/>
      <c r="E9" s="118"/>
      <c r="F9" s="47"/>
      <c r="G9" s="47"/>
      <c r="H9" s="47"/>
      <c r="I9" s="4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DE143-DE4B-475A-81A0-0DCDBBC8665A}">
  <dimension ref="A1:L27"/>
  <sheetViews>
    <sheetView workbookViewId="0">
      <selection activeCell="L18" sqref="I13:L18"/>
    </sheetView>
  </sheetViews>
  <sheetFormatPr defaultRowHeight="14.4" x14ac:dyDescent="0.3"/>
  <cols>
    <col min="1" max="1" width="12.5546875" bestFit="1" customWidth="1"/>
    <col min="2" max="2" width="11.6640625" bestFit="1" customWidth="1"/>
    <col min="3" max="3" width="21.33203125" customWidth="1"/>
    <col min="4" max="4" width="11.6640625" bestFit="1" customWidth="1"/>
    <col min="5" max="5" width="20.5546875" customWidth="1"/>
    <col min="6" max="10" width="11.6640625" bestFit="1" customWidth="1"/>
    <col min="11" max="11" width="28.6640625" customWidth="1"/>
    <col min="12" max="12" width="17.5546875" customWidth="1"/>
    <col min="13" max="14" width="11.6640625" bestFit="1" customWidth="1"/>
    <col min="15" max="16" width="10.6640625" bestFit="1" customWidth="1"/>
    <col min="17" max="24" width="11.6640625" bestFit="1" customWidth="1"/>
    <col min="25" max="25" width="10.6640625" bestFit="1" customWidth="1"/>
    <col min="26" max="36" width="11.6640625" bestFit="1" customWidth="1"/>
    <col min="37" max="37" width="10.6640625" bestFit="1" customWidth="1"/>
    <col min="38" max="47" width="11.6640625" bestFit="1" customWidth="1"/>
    <col min="48" max="48" width="10.6640625" bestFit="1" customWidth="1"/>
    <col min="49" max="51" width="11.6640625" bestFit="1" customWidth="1"/>
    <col min="52" max="52" width="10.6640625" bestFit="1" customWidth="1"/>
    <col min="53" max="58" width="11.6640625" bestFit="1" customWidth="1"/>
    <col min="59" max="59" width="5.6640625" bestFit="1" customWidth="1"/>
    <col min="60" max="60" width="6.6640625" bestFit="1" customWidth="1"/>
    <col min="61" max="68" width="11.6640625" bestFit="1" customWidth="1"/>
    <col min="69" max="69" width="10.6640625" bestFit="1" customWidth="1"/>
    <col min="70" max="74" width="11.6640625" bestFit="1" customWidth="1"/>
    <col min="75" max="75" width="10.6640625" bestFit="1" customWidth="1"/>
    <col min="76" max="76" width="11.6640625" bestFit="1" customWidth="1"/>
    <col min="77" max="77" width="3.5546875" bestFit="1" customWidth="1"/>
    <col min="78" max="79" width="11.6640625" bestFit="1" customWidth="1"/>
  </cols>
  <sheetData>
    <row r="1" spans="1:12" x14ac:dyDescent="0.3">
      <c r="A1" s="108" t="s">
        <v>160</v>
      </c>
      <c r="B1" t="s">
        <v>293</v>
      </c>
    </row>
    <row r="3" spans="1:12" x14ac:dyDescent="0.3">
      <c r="A3" s="126" t="s">
        <v>159</v>
      </c>
      <c r="B3" s="125" t="s">
        <v>294</v>
      </c>
      <c r="C3" s="127" t="s">
        <v>295</v>
      </c>
      <c r="D3" s="125"/>
      <c r="E3" s="127" t="s">
        <v>296</v>
      </c>
      <c r="F3" s="125"/>
    </row>
    <row r="4" spans="1:12" x14ac:dyDescent="0.3">
      <c r="A4" s="125" t="s">
        <v>176</v>
      </c>
      <c r="B4" s="128">
        <v>355929.83808219188</v>
      </c>
      <c r="C4" s="129">
        <f>GETPIVOTDATA("ADV",$A$3,"Region","AMEA")*2</f>
        <v>711859.67616438377</v>
      </c>
      <c r="D4" s="125" t="s">
        <v>297</v>
      </c>
      <c r="E4" s="129">
        <f>C4*30/1024</f>
        <v>20855.263950128432</v>
      </c>
      <c r="F4" s="125" t="s">
        <v>269</v>
      </c>
    </row>
    <row r="5" spans="1:12" x14ac:dyDescent="0.3">
      <c r="A5" s="125" t="s">
        <v>179</v>
      </c>
      <c r="B5" s="128">
        <v>13752.783561643835</v>
      </c>
      <c r="C5" s="129">
        <f>GETPIVOTDATA("ADV",$A$3,"Region","CA")*2</f>
        <v>27505.56712328767</v>
      </c>
      <c r="D5" s="125" t="s">
        <v>297</v>
      </c>
      <c r="E5" s="129">
        <f t="shared" ref="E5:E9" si="0">C5*30/1024</f>
        <v>805.82716181506851</v>
      </c>
      <c r="F5" s="125" t="s">
        <v>269</v>
      </c>
    </row>
    <row r="6" spans="1:12" x14ac:dyDescent="0.3">
      <c r="A6" s="125" t="s">
        <v>166</v>
      </c>
      <c r="B6" s="128">
        <v>202805.25753424654</v>
      </c>
      <c r="C6" s="129">
        <f>GETPIVOTDATA("ADV",$A$3,"Region","EU")*2</f>
        <v>405610.51506849308</v>
      </c>
      <c r="D6" s="125" t="s">
        <v>297</v>
      </c>
      <c r="E6" s="129">
        <f t="shared" si="0"/>
        <v>11883.120558647259</v>
      </c>
      <c r="F6" s="125" t="s">
        <v>269</v>
      </c>
    </row>
    <row r="7" spans="1:12" x14ac:dyDescent="0.3">
      <c r="A7" s="125" t="s">
        <v>183</v>
      </c>
      <c r="B7" s="128">
        <v>22045.765991539723</v>
      </c>
      <c r="C7" s="129">
        <f>GETPIVOTDATA("ADV",$A$3,"Region","LAC")*2</f>
        <v>44091.531983079447</v>
      </c>
      <c r="D7" s="125" t="s">
        <v>297</v>
      </c>
      <c r="E7" s="129">
        <f t="shared" si="0"/>
        <v>1291.7441010667808</v>
      </c>
      <c r="F7" s="125" t="s">
        <v>269</v>
      </c>
    </row>
    <row r="8" spans="1:12" x14ac:dyDescent="0.3">
      <c r="A8" s="125" t="s">
        <v>185</v>
      </c>
      <c r="B8" s="128">
        <v>95696.273972602736</v>
      </c>
      <c r="C8" s="129">
        <f>GETPIVOTDATA("ADV",$A$3,"Region","US")*2</f>
        <v>191392.54794520547</v>
      </c>
      <c r="D8" s="125" t="s">
        <v>297</v>
      </c>
      <c r="E8" s="129">
        <f t="shared" si="0"/>
        <v>5607.2035530821913</v>
      </c>
      <c r="F8" s="125" t="s">
        <v>269</v>
      </c>
    </row>
    <row r="9" spans="1:12" x14ac:dyDescent="0.3">
      <c r="A9" s="125" t="s">
        <v>298</v>
      </c>
      <c r="B9" s="128">
        <v>690229.91914222483</v>
      </c>
      <c r="C9" s="129">
        <f>SUM(C4:C8)</f>
        <v>1380459.8382844497</v>
      </c>
      <c r="D9" s="125" t="s">
        <v>297</v>
      </c>
      <c r="E9" s="129">
        <f t="shared" si="0"/>
        <v>40443.15932473974</v>
      </c>
      <c r="F9" s="125" t="s">
        <v>269</v>
      </c>
    </row>
    <row r="13" spans="1:12" ht="28.8" x14ac:dyDescent="0.3">
      <c r="I13" s="1"/>
      <c r="J13" s="130" t="s">
        <v>265</v>
      </c>
      <c r="K13" s="131" t="s">
        <v>299</v>
      </c>
      <c r="L13" s="132" t="s">
        <v>300</v>
      </c>
    </row>
    <row r="14" spans="1:12" x14ac:dyDescent="0.3">
      <c r="I14" s="123" t="s">
        <v>176</v>
      </c>
      <c r="J14" s="122">
        <v>355929.83808219188</v>
      </c>
      <c r="K14" s="133">
        <f>J14*70</f>
        <v>24915088.665753432</v>
      </c>
      <c r="L14" s="122">
        <f>J14/(24*60*2)</f>
        <v>123.58674933409441</v>
      </c>
    </row>
    <row r="15" spans="1:12" x14ac:dyDescent="0.3">
      <c r="I15" s="123" t="s">
        <v>179</v>
      </c>
      <c r="J15" s="122">
        <v>13752.783561643835</v>
      </c>
      <c r="K15" s="133">
        <f t="shared" ref="K15:K18" si="1">J15*70</f>
        <v>962694.84931506845</v>
      </c>
      <c r="L15" s="122">
        <f t="shared" ref="L15:L18" si="2">J15/(24*60*2)</f>
        <v>4.7752720700152205</v>
      </c>
    </row>
    <row r="16" spans="1:12" x14ac:dyDescent="0.3">
      <c r="I16" s="123" t="s">
        <v>166</v>
      </c>
      <c r="J16" s="122">
        <v>202805.25753424654</v>
      </c>
      <c r="K16" s="133">
        <f t="shared" si="1"/>
        <v>14196368.027397258</v>
      </c>
      <c r="L16" s="122">
        <f t="shared" si="2"/>
        <v>70.418492199391167</v>
      </c>
    </row>
    <row r="17" spans="9:12" x14ac:dyDescent="0.3">
      <c r="I17" s="123" t="s">
        <v>183</v>
      </c>
      <c r="J17" s="122">
        <v>22045.765991539723</v>
      </c>
      <c r="K17" s="133">
        <f t="shared" si="1"/>
        <v>1543203.6194077807</v>
      </c>
      <c r="L17" s="122">
        <f t="shared" si="2"/>
        <v>7.6547798581735149</v>
      </c>
    </row>
    <row r="18" spans="9:12" x14ac:dyDescent="0.3">
      <c r="I18" s="123" t="s">
        <v>185</v>
      </c>
      <c r="J18" s="122">
        <v>95696.273972602736</v>
      </c>
      <c r="K18" s="133">
        <f t="shared" si="1"/>
        <v>6698739.1780821914</v>
      </c>
      <c r="L18" s="122">
        <f t="shared" si="2"/>
        <v>33.227872907153724</v>
      </c>
    </row>
    <row r="19" spans="9:12" x14ac:dyDescent="0.3">
      <c r="K19" s="124"/>
    </row>
    <row r="27" spans="9:12" x14ac:dyDescent="0.3">
      <c r="K27" t="s">
        <v>301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F6D9C-3634-4D3F-A1D8-165E23A23711}">
  <dimension ref="A1:E16"/>
  <sheetViews>
    <sheetView showGridLines="0" workbookViewId="0">
      <pane ySplit="1" topLeftCell="A13" activePane="bottomLeft" state="frozen"/>
      <selection pane="bottomLeft" activeCell="H13" sqref="H13"/>
    </sheetView>
  </sheetViews>
  <sheetFormatPr defaultRowHeight="14.4" x14ac:dyDescent="0.3"/>
  <cols>
    <col min="1" max="1" width="28.44140625" customWidth="1"/>
    <col min="2" max="2" width="25.33203125" style="3" customWidth="1"/>
    <col min="3" max="3" width="21.44140625" style="3" customWidth="1"/>
    <col min="4" max="4" width="21.33203125" customWidth="1"/>
    <col min="5" max="5" width="103.5546875" customWidth="1"/>
  </cols>
  <sheetData>
    <row r="1" spans="1:5" x14ac:dyDescent="0.3">
      <c r="A1" s="28" t="s">
        <v>302</v>
      </c>
      <c r="B1" s="29" t="s">
        <v>303</v>
      </c>
      <c r="C1" s="29" t="s">
        <v>304</v>
      </c>
      <c r="D1" s="28" t="s">
        <v>305</v>
      </c>
      <c r="E1" s="28" t="s">
        <v>306</v>
      </c>
    </row>
    <row r="2" spans="1:5" ht="201.6" x14ac:dyDescent="0.3">
      <c r="A2" s="168" t="s">
        <v>307</v>
      </c>
      <c r="B2" s="169" t="s">
        <v>308</v>
      </c>
      <c r="C2" s="30" t="s">
        <v>309</v>
      </c>
      <c r="D2" s="31" t="s">
        <v>310</v>
      </c>
      <c r="E2" s="30" t="s">
        <v>311</v>
      </c>
    </row>
    <row r="3" spans="1:5" ht="28.8" x14ac:dyDescent="0.3">
      <c r="A3" s="168"/>
      <c r="B3" s="169"/>
      <c r="C3" s="32" t="s">
        <v>38</v>
      </c>
      <c r="D3" s="33" t="s">
        <v>310</v>
      </c>
      <c r="E3" s="32" t="s">
        <v>312</v>
      </c>
    </row>
    <row r="4" spans="1:5" ht="187.2" x14ac:dyDescent="0.3">
      <c r="A4" s="168"/>
      <c r="B4" s="169"/>
      <c r="C4" s="34" t="s">
        <v>30</v>
      </c>
      <c r="D4" s="35" t="s">
        <v>313</v>
      </c>
      <c r="E4" s="34" t="s">
        <v>314</v>
      </c>
    </row>
    <row r="5" spans="1:5" ht="100.8" x14ac:dyDescent="0.3">
      <c r="A5" s="168"/>
      <c r="B5" s="169"/>
      <c r="C5" s="36" t="s">
        <v>30</v>
      </c>
      <c r="D5" s="37" t="s">
        <v>315</v>
      </c>
      <c r="E5" s="36" t="s">
        <v>316</v>
      </c>
    </row>
    <row r="6" spans="1:5" ht="57.6" x14ac:dyDescent="0.3">
      <c r="A6" s="168"/>
      <c r="B6" s="169"/>
      <c r="C6" s="38" t="s">
        <v>317</v>
      </c>
      <c r="D6" s="31" t="s">
        <v>310</v>
      </c>
      <c r="E6" s="30" t="s">
        <v>318</v>
      </c>
    </row>
    <row r="7" spans="1:5" ht="43.2" x14ac:dyDescent="0.3">
      <c r="A7" s="168"/>
      <c r="B7" s="169"/>
      <c r="C7" s="39">
        <v>71</v>
      </c>
      <c r="D7" s="35" t="s">
        <v>310</v>
      </c>
      <c r="E7" s="34" t="s">
        <v>319</v>
      </c>
    </row>
    <row r="8" spans="1:5" x14ac:dyDescent="0.3">
      <c r="A8" s="168"/>
      <c r="B8" s="169"/>
      <c r="C8" s="40">
        <v>74</v>
      </c>
      <c r="D8" s="41" t="s">
        <v>310</v>
      </c>
      <c r="E8" s="42" t="s">
        <v>320</v>
      </c>
    </row>
    <row r="9" spans="1:5" ht="57.6" x14ac:dyDescent="0.3">
      <c r="A9" s="43" t="s">
        <v>321</v>
      </c>
      <c r="B9" s="2" t="s">
        <v>322</v>
      </c>
      <c r="C9" s="2" t="s">
        <v>323</v>
      </c>
      <c r="D9" s="1" t="s">
        <v>324</v>
      </c>
      <c r="E9" s="44" t="s">
        <v>325</v>
      </c>
    </row>
    <row r="10" spans="1:5" x14ac:dyDescent="0.3">
      <c r="A10" s="43" t="s">
        <v>326</v>
      </c>
      <c r="B10" s="2" t="s">
        <v>327</v>
      </c>
      <c r="C10" s="2" t="s">
        <v>324</v>
      </c>
      <c r="D10" s="1" t="s">
        <v>324</v>
      </c>
      <c r="E10" s="45" t="s">
        <v>328</v>
      </c>
    </row>
    <row r="11" spans="1:5" x14ac:dyDescent="0.3">
      <c r="A11" s="43" t="s">
        <v>329</v>
      </c>
      <c r="B11" s="2" t="s">
        <v>330</v>
      </c>
      <c r="C11" s="2">
        <v>12</v>
      </c>
      <c r="D11" s="1" t="s">
        <v>310</v>
      </c>
      <c r="E11" s="1" t="s">
        <v>331</v>
      </c>
    </row>
    <row r="12" spans="1:5" x14ac:dyDescent="0.3">
      <c r="A12" s="43" t="s">
        <v>332</v>
      </c>
      <c r="B12" s="2" t="s">
        <v>333</v>
      </c>
      <c r="C12" s="2" t="s">
        <v>324</v>
      </c>
      <c r="D12" s="1"/>
      <c r="E12" s="1"/>
    </row>
    <row r="13" spans="1:5" ht="158.4" x14ac:dyDescent="0.3">
      <c r="A13" s="168" t="s">
        <v>334</v>
      </c>
      <c r="B13" s="169" t="s">
        <v>335</v>
      </c>
      <c r="C13" s="2" t="s">
        <v>309</v>
      </c>
      <c r="D13" s="1" t="s">
        <v>310</v>
      </c>
      <c r="E13" s="2" t="s">
        <v>336</v>
      </c>
    </row>
    <row r="14" spans="1:5" ht="216" x14ac:dyDescent="0.3">
      <c r="A14" s="168"/>
      <c r="B14" s="169"/>
      <c r="C14" s="2" t="s">
        <v>324</v>
      </c>
      <c r="D14" s="1" t="s">
        <v>313</v>
      </c>
      <c r="E14" s="2" t="s">
        <v>337</v>
      </c>
    </row>
    <row r="15" spans="1:5" ht="72" x14ac:dyDescent="0.3">
      <c r="A15" s="168"/>
      <c r="B15" s="169"/>
      <c r="C15" s="2" t="s">
        <v>324</v>
      </c>
      <c r="D15" s="1" t="s">
        <v>315</v>
      </c>
      <c r="E15" s="2" t="s">
        <v>338</v>
      </c>
    </row>
    <row r="16" spans="1:5" x14ac:dyDescent="0.3">
      <c r="A16" s="168"/>
      <c r="B16" s="169"/>
      <c r="C16" s="46" t="s">
        <v>339</v>
      </c>
      <c r="D16" s="1" t="s">
        <v>310</v>
      </c>
      <c r="E16" s="2" t="s">
        <v>340</v>
      </c>
    </row>
  </sheetData>
  <mergeCells count="4">
    <mergeCell ref="A2:A8"/>
    <mergeCell ref="B2:B8"/>
    <mergeCell ref="B13:B16"/>
    <mergeCell ref="A13:A1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7968C-88D8-493C-8881-2B6D0BBA1932}">
  <dimension ref="A1:K60"/>
  <sheetViews>
    <sheetView showGridLines="0" workbookViewId="0">
      <pane ySplit="1" topLeftCell="A39" activePane="bottomLeft" state="frozen"/>
      <selection pane="bottomLeft" activeCell="E39" sqref="E39"/>
    </sheetView>
  </sheetViews>
  <sheetFormatPr defaultRowHeight="15" customHeight="1" x14ac:dyDescent="0.3"/>
  <cols>
    <col min="1" max="1" width="15.33203125" customWidth="1"/>
    <col min="2" max="2" width="18" style="4" customWidth="1"/>
    <col min="3" max="3" width="12.44140625" style="4" customWidth="1"/>
    <col min="4" max="5" width="28" customWidth="1"/>
    <col min="6" max="6" width="46.6640625" bestFit="1" customWidth="1"/>
    <col min="7" max="7" width="11.6640625" style="14" bestFit="1" customWidth="1"/>
    <col min="8" max="8" width="33.5546875" customWidth="1"/>
    <col min="9" max="9" width="22.6640625" style="14" bestFit="1" customWidth="1"/>
    <col min="10" max="10" width="23.33203125" customWidth="1"/>
    <col min="11" max="11" width="16.6640625" style="14" customWidth="1"/>
  </cols>
  <sheetData>
    <row r="1" spans="1:11" ht="28.8" x14ac:dyDescent="0.3">
      <c r="A1" s="11" t="s">
        <v>341</v>
      </c>
      <c r="B1" s="11" t="s">
        <v>342</v>
      </c>
      <c r="C1" s="11" t="s">
        <v>343</v>
      </c>
      <c r="D1" s="12" t="s">
        <v>6</v>
      </c>
      <c r="E1" s="12" t="s">
        <v>303</v>
      </c>
      <c r="F1" s="12" t="s">
        <v>344</v>
      </c>
      <c r="G1" s="12" t="s">
        <v>345</v>
      </c>
      <c r="H1" s="12" t="s">
        <v>346</v>
      </c>
      <c r="I1" s="12" t="s">
        <v>347</v>
      </c>
      <c r="J1" s="11" t="s">
        <v>348</v>
      </c>
      <c r="K1" s="11" t="s">
        <v>349</v>
      </c>
    </row>
    <row r="2" spans="1:11" ht="100.8" x14ac:dyDescent="0.3">
      <c r="A2" s="5" t="s">
        <v>32</v>
      </c>
      <c r="B2" s="6" t="s">
        <v>30</v>
      </c>
      <c r="C2" s="6"/>
      <c r="D2" s="5" t="s">
        <v>350</v>
      </c>
      <c r="E2" s="5" t="s">
        <v>29</v>
      </c>
      <c r="F2" s="9" t="s">
        <v>351</v>
      </c>
      <c r="G2" s="15" t="s">
        <v>352</v>
      </c>
      <c r="H2" s="17" t="s">
        <v>353</v>
      </c>
      <c r="I2" s="15" t="s">
        <v>354</v>
      </c>
      <c r="J2" s="10" t="s">
        <v>355</v>
      </c>
      <c r="K2" s="16" t="s">
        <v>352</v>
      </c>
    </row>
    <row r="3" spans="1:11" ht="14.4" x14ac:dyDescent="0.3">
      <c r="A3" s="5" t="s">
        <v>32</v>
      </c>
      <c r="B3" s="6" t="s">
        <v>30</v>
      </c>
      <c r="C3" s="6"/>
      <c r="D3" s="5" t="s">
        <v>356</v>
      </c>
      <c r="E3" s="5" t="s">
        <v>29</v>
      </c>
      <c r="F3" s="9"/>
      <c r="G3" s="15" t="s">
        <v>357</v>
      </c>
      <c r="H3" s="9" t="s">
        <v>358</v>
      </c>
      <c r="I3" s="15"/>
      <c r="J3" s="10"/>
      <c r="K3" s="16"/>
    </row>
    <row r="4" spans="1:11" ht="14.4" x14ac:dyDescent="0.3">
      <c r="A4" s="5" t="s">
        <v>32</v>
      </c>
      <c r="B4" s="6" t="s">
        <v>30</v>
      </c>
      <c r="C4" s="6"/>
      <c r="D4" s="5" t="s">
        <v>359</v>
      </c>
      <c r="E4" s="5" t="s">
        <v>29</v>
      </c>
      <c r="F4" s="9"/>
      <c r="G4" s="15"/>
      <c r="H4" s="9"/>
      <c r="I4" s="15"/>
      <c r="J4" s="10"/>
      <c r="K4" s="16"/>
    </row>
    <row r="5" spans="1:11" ht="14.4" x14ac:dyDescent="0.3">
      <c r="A5" s="5" t="s">
        <v>32</v>
      </c>
      <c r="B5" s="6" t="s">
        <v>30</v>
      </c>
      <c r="C5" s="6"/>
      <c r="D5" s="5" t="s">
        <v>360</v>
      </c>
      <c r="E5" s="5" t="s">
        <v>29</v>
      </c>
      <c r="F5" s="9"/>
      <c r="G5" s="15"/>
      <c r="H5" s="9"/>
      <c r="I5" s="15"/>
      <c r="J5" s="10"/>
      <c r="K5" s="16"/>
    </row>
    <row r="6" spans="1:11" ht="72" x14ac:dyDescent="0.3">
      <c r="A6" s="5" t="s">
        <v>32</v>
      </c>
      <c r="B6" s="6" t="s">
        <v>38</v>
      </c>
      <c r="C6" s="6"/>
      <c r="D6" s="5" t="s">
        <v>361</v>
      </c>
      <c r="E6" s="5" t="s">
        <v>29</v>
      </c>
      <c r="F6" s="9" t="s">
        <v>362</v>
      </c>
      <c r="G6" s="15" t="s">
        <v>352</v>
      </c>
      <c r="H6" s="17" t="s">
        <v>363</v>
      </c>
      <c r="I6" s="15"/>
      <c r="J6" s="10"/>
      <c r="K6" s="16"/>
    </row>
    <row r="7" spans="1:11" ht="14.4" x14ac:dyDescent="0.3">
      <c r="A7" s="7" t="s">
        <v>32</v>
      </c>
      <c r="B7" s="8" t="s">
        <v>41</v>
      </c>
      <c r="C7" s="8"/>
      <c r="D7" s="7" t="s">
        <v>364</v>
      </c>
      <c r="E7" s="7" t="s">
        <v>50</v>
      </c>
      <c r="F7" s="10" t="s">
        <v>365</v>
      </c>
      <c r="G7" s="13" t="s">
        <v>352</v>
      </c>
      <c r="H7" s="10"/>
      <c r="I7" s="13"/>
      <c r="J7" s="10"/>
      <c r="K7" s="16"/>
    </row>
    <row r="8" spans="1:11" ht="14.4" x14ac:dyDescent="0.3">
      <c r="A8" s="7" t="s">
        <v>32</v>
      </c>
      <c r="B8" s="8">
        <v>70</v>
      </c>
      <c r="C8" s="8"/>
      <c r="D8" s="7" t="s">
        <v>366</v>
      </c>
      <c r="E8" s="7" t="s">
        <v>50</v>
      </c>
      <c r="F8" s="10" t="s">
        <v>367</v>
      </c>
      <c r="G8" s="13" t="s">
        <v>352</v>
      </c>
      <c r="H8" s="10"/>
      <c r="I8" s="13"/>
      <c r="J8" s="10"/>
      <c r="K8" s="16"/>
    </row>
    <row r="9" spans="1:11" ht="14.4" x14ac:dyDescent="0.3">
      <c r="A9" s="7" t="s">
        <v>32</v>
      </c>
      <c r="B9" s="8">
        <v>71</v>
      </c>
      <c r="C9" s="8"/>
      <c r="D9" s="65" t="s">
        <v>366</v>
      </c>
      <c r="E9" s="7" t="s">
        <v>50</v>
      </c>
      <c r="F9" s="10" t="s">
        <v>368</v>
      </c>
      <c r="G9" s="13" t="s">
        <v>352</v>
      </c>
      <c r="H9" s="10"/>
      <c r="I9" s="13"/>
      <c r="J9" s="10"/>
      <c r="K9" s="16"/>
    </row>
    <row r="10" spans="1:11" ht="14.4" x14ac:dyDescent="0.3">
      <c r="A10" s="7" t="s">
        <v>32</v>
      </c>
      <c r="B10" s="8">
        <v>72</v>
      </c>
      <c r="C10" s="8"/>
      <c r="D10" s="65" t="s">
        <v>366</v>
      </c>
      <c r="E10" s="7" t="s">
        <v>50</v>
      </c>
      <c r="F10" s="10" t="s">
        <v>369</v>
      </c>
      <c r="G10" s="13" t="s">
        <v>352</v>
      </c>
      <c r="H10" s="10"/>
      <c r="I10" s="13"/>
      <c r="J10" s="10"/>
      <c r="K10" s="16"/>
    </row>
    <row r="11" spans="1:11" ht="14.4" x14ac:dyDescent="0.3">
      <c r="A11" s="7" t="s">
        <v>32</v>
      </c>
      <c r="B11" s="8">
        <v>73</v>
      </c>
      <c r="C11" s="8"/>
      <c r="D11" s="65" t="s">
        <v>366</v>
      </c>
      <c r="E11" s="7" t="s">
        <v>50</v>
      </c>
      <c r="F11" s="10" t="s">
        <v>369</v>
      </c>
      <c r="G11" s="13" t="s">
        <v>352</v>
      </c>
      <c r="H11" s="10"/>
      <c r="I11" s="13"/>
      <c r="J11" s="10"/>
      <c r="K11" s="16"/>
    </row>
    <row r="12" spans="1:11" ht="14.4" x14ac:dyDescent="0.3">
      <c r="A12" s="7" t="s">
        <v>32</v>
      </c>
      <c r="B12" s="8">
        <v>74</v>
      </c>
      <c r="C12" s="8"/>
      <c r="D12" s="65" t="s">
        <v>366</v>
      </c>
      <c r="E12" s="7" t="s">
        <v>50</v>
      </c>
      <c r="F12" s="10" t="s">
        <v>370</v>
      </c>
      <c r="G12" s="13" t="s">
        <v>357</v>
      </c>
      <c r="H12" s="10"/>
      <c r="I12" s="13"/>
      <c r="J12" s="10"/>
      <c r="K12" s="16"/>
    </row>
    <row r="13" spans="1:11" ht="28.8" x14ac:dyDescent="0.3">
      <c r="A13" s="7" t="s">
        <v>32</v>
      </c>
      <c r="B13" s="8">
        <v>7</v>
      </c>
      <c r="C13" s="8">
        <v>14</v>
      </c>
      <c r="D13" s="7"/>
      <c r="E13" s="7" t="s">
        <v>52</v>
      </c>
      <c r="F13" s="10" t="s">
        <v>371</v>
      </c>
      <c r="G13" s="13" t="s">
        <v>352</v>
      </c>
      <c r="H13" s="18" t="s">
        <v>372</v>
      </c>
      <c r="I13" s="13"/>
      <c r="J13" s="10"/>
      <c r="K13" s="16"/>
    </row>
    <row r="14" spans="1:11" ht="14.4" x14ac:dyDescent="0.3">
      <c r="A14" s="7" t="s">
        <v>32</v>
      </c>
      <c r="B14" s="8">
        <v>7</v>
      </c>
      <c r="C14" s="8">
        <v>52</v>
      </c>
      <c r="D14" s="7"/>
      <c r="E14" s="7"/>
      <c r="F14" s="10" t="s">
        <v>373</v>
      </c>
      <c r="G14" s="13"/>
      <c r="H14" s="10"/>
      <c r="I14" s="13"/>
      <c r="J14" s="10"/>
      <c r="K14" s="16"/>
    </row>
    <row r="15" spans="1:11" ht="14.4" x14ac:dyDescent="0.3">
      <c r="A15" s="7" t="s">
        <v>32</v>
      </c>
      <c r="B15" s="8">
        <v>7</v>
      </c>
      <c r="C15" s="8">
        <v>55</v>
      </c>
      <c r="D15" s="7"/>
      <c r="E15" s="7"/>
      <c r="F15" s="10" t="s">
        <v>374</v>
      </c>
      <c r="G15" s="13"/>
      <c r="H15" s="10"/>
      <c r="I15" s="13"/>
      <c r="J15" s="10"/>
      <c r="K15" s="16"/>
    </row>
    <row r="16" spans="1:11" ht="14.4" x14ac:dyDescent="0.3">
      <c r="A16" s="7" t="s">
        <v>32</v>
      </c>
      <c r="B16" s="8">
        <v>7</v>
      </c>
      <c r="C16" s="8">
        <v>56</v>
      </c>
      <c r="D16" s="7"/>
      <c r="E16" s="7"/>
      <c r="F16" s="10" t="s">
        <v>375</v>
      </c>
      <c r="G16" s="13"/>
      <c r="H16" s="10"/>
      <c r="I16" s="13"/>
      <c r="J16" s="10"/>
      <c r="K16" s="16"/>
    </row>
    <row r="17" spans="1:11" ht="14.4" x14ac:dyDescent="0.3">
      <c r="A17" s="7" t="s">
        <v>32</v>
      </c>
      <c r="B17" s="8">
        <v>7</v>
      </c>
      <c r="C17" s="8">
        <v>60</v>
      </c>
      <c r="D17" s="7"/>
      <c r="E17" s="7"/>
      <c r="F17" s="10" t="s">
        <v>376</v>
      </c>
      <c r="G17" s="13"/>
      <c r="H17" s="10"/>
      <c r="I17" s="13"/>
      <c r="J17" s="10"/>
      <c r="K17" s="16"/>
    </row>
    <row r="18" spans="1:11" ht="14.4" x14ac:dyDescent="0.3">
      <c r="A18" s="7" t="s">
        <v>32</v>
      </c>
      <c r="B18" s="8">
        <v>7</v>
      </c>
      <c r="C18" s="8">
        <v>65</v>
      </c>
      <c r="D18" s="7"/>
      <c r="E18" s="7"/>
      <c r="F18" s="10" t="s">
        <v>377</v>
      </c>
      <c r="G18" s="13"/>
      <c r="H18" s="10"/>
      <c r="I18" s="13"/>
      <c r="J18" s="10"/>
      <c r="K18" s="16"/>
    </row>
    <row r="19" spans="1:11" ht="14.4" x14ac:dyDescent="0.3">
      <c r="A19" s="7" t="s">
        <v>32</v>
      </c>
      <c r="B19" s="8">
        <v>7</v>
      </c>
      <c r="C19" s="8">
        <v>66</v>
      </c>
      <c r="D19" s="7"/>
      <c r="E19" s="7"/>
      <c r="F19" s="10" t="s">
        <v>378</v>
      </c>
      <c r="G19" s="13"/>
      <c r="H19" s="10"/>
      <c r="I19" s="13"/>
      <c r="J19" s="10"/>
      <c r="K19" s="16"/>
    </row>
    <row r="20" spans="1:11" ht="14.4" x14ac:dyDescent="0.3">
      <c r="A20" s="7" t="s">
        <v>32</v>
      </c>
      <c r="B20" s="8">
        <v>7</v>
      </c>
      <c r="C20" s="8">
        <v>67</v>
      </c>
      <c r="D20" s="7"/>
      <c r="E20" s="7"/>
      <c r="F20" s="10" t="s">
        <v>379</v>
      </c>
      <c r="G20" s="13"/>
      <c r="H20" s="10"/>
      <c r="I20" s="13"/>
      <c r="J20" s="10"/>
      <c r="K20" s="16"/>
    </row>
    <row r="21" spans="1:11" ht="14.4" x14ac:dyDescent="0.3">
      <c r="A21" s="7" t="s">
        <v>32</v>
      </c>
      <c r="B21" s="8">
        <v>7</v>
      </c>
      <c r="C21" s="8">
        <v>70</v>
      </c>
      <c r="D21" s="65" t="s">
        <v>356</v>
      </c>
      <c r="E21" s="7"/>
      <c r="F21" s="10" t="s">
        <v>380</v>
      </c>
      <c r="G21" s="13"/>
      <c r="H21" s="10"/>
      <c r="I21" s="13"/>
      <c r="J21" s="10"/>
      <c r="K21" s="16"/>
    </row>
    <row r="22" spans="1:11" ht="14.4" x14ac:dyDescent="0.3">
      <c r="A22" s="7" t="s">
        <v>32</v>
      </c>
      <c r="B22" s="8">
        <v>7</v>
      </c>
      <c r="C22" s="8">
        <v>71</v>
      </c>
      <c r="D22" s="65" t="s">
        <v>356</v>
      </c>
      <c r="E22" s="7"/>
      <c r="F22" s="10" t="s">
        <v>381</v>
      </c>
      <c r="G22" s="13"/>
      <c r="H22" s="10"/>
      <c r="I22" s="13"/>
      <c r="J22" s="10"/>
      <c r="K22" s="16"/>
    </row>
    <row r="23" spans="1:11" ht="14.4" x14ac:dyDescent="0.3">
      <c r="A23" s="7" t="s">
        <v>32</v>
      </c>
      <c r="B23" s="8">
        <v>7</v>
      </c>
      <c r="C23" s="8">
        <v>72</v>
      </c>
      <c r="D23" s="65" t="s">
        <v>356</v>
      </c>
      <c r="E23" s="7"/>
      <c r="F23" s="10" t="s">
        <v>382</v>
      </c>
      <c r="G23" s="13"/>
      <c r="H23" s="10"/>
      <c r="I23" s="13"/>
      <c r="J23" s="10"/>
      <c r="K23" s="16"/>
    </row>
    <row r="24" spans="1:11" ht="14.4" x14ac:dyDescent="0.3">
      <c r="A24" s="7" t="s">
        <v>32</v>
      </c>
      <c r="B24" s="8">
        <v>7</v>
      </c>
      <c r="C24" s="8">
        <v>74</v>
      </c>
      <c r="D24" s="65" t="s">
        <v>356</v>
      </c>
      <c r="E24" s="7"/>
      <c r="F24" s="10" t="s">
        <v>383</v>
      </c>
      <c r="G24" s="13"/>
      <c r="H24" s="10"/>
      <c r="I24" s="13"/>
      <c r="J24" s="10"/>
      <c r="K24" s="16"/>
    </row>
    <row r="25" spans="1:11" ht="14.4" x14ac:dyDescent="0.3">
      <c r="A25" s="7"/>
      <c r="B25" s="8">
        <v>7</v>
      </c>
      <c r="C25" s="8">
        <v>77</v>
      </c>
      <c r="D25" s="65" t="s">
        <v>384</v>
      </c>
      <c r="E25" s="7"/>
      <c r="F25" s="10" t="s">
        <v>385</v>
      </c>
      <c r="G25" s="13"/>
      <c r="H25" s="10"/>
      <c r="I25" s="13"/>
      <c r="J25" s="10"/>
      <c r="K25" s="16"/>
    </row>
    <row r="26" spans="1:11" ht="14.4" x14ac:dyDescent="0.3">
      <c r="A26" s="7" t="s">
        <v>32</v>
      </c>
      <c r="B26" s="8">
        <v>7</v>
      </c>
      <c r="C26" s="8">
        <v>77</v>
      </c>
      <c r="D26" s="65" t="s">
        <v>386</v>
      </c>
      <c r="E26" s="7"/>
      <c r="F26" s="10" t="s">
        <v>385</v>
      </c>
      <c r="G26" s="13"/>
      <c r="H26" s="10"/>
      <c r="I26" s="13"/>
      <c r="J26" s="10"/>
      <c r="K26" s="16"/>
    </row>
    <row r="27" spans="1:11" ht="14.4" x14ac:dyDescent="0.3">
      <c r="A27" s="7" t="s">
        <v>32</v>
      </c>
      <c r="B27" s="8">
        <v>29</v>
      </c>
      <c r="C27" s="8">
        <v>16</v>
      </c>
      <c r="D27" s="7"/>
      <c r="E27" s="7"/>
      <c r="F27" s="10" t="s">
        <v>387</v>
      </c>
      <c r="G27" s="13"/>
      <c r="H27" s="10"/>
      <c r="I27" s="13"/>
      <c r="J27" s="10"/>
      <c r="K27" s="16"/>
    </row>
    <row r="28" spans="1:11" ht="14.4" x14ac:dyDescent="0.3">
      <c r="A28" s="7" t="s">
        <v>32</v>
      </c>
      <c r="B28" s="8">
        <v>29</v>
      </c>
      <c r="C28" s="8">
        <v>17</v>
      </c>
      <c r="D28" s="7"/>
      <c r="E28" s="7"/>
      <c r="F28" s="10" t="s">
        <v>388</v>
      </c>
      <c r="G28" s="13"/>
      <c r="H28" s="10"/>
      <c r="I28" s="13"/>
      <c r="J28" s="10"/>
      <c r="K28" s="16"/>
    </row>
    <row r="29" spans="1:11" ht="14.4" x14ac:dyDescent="0.3">
      <c r="A29" s="7" t="s">
        <v>32</v>
      </c>
      <c r="B29" s="8">
        <v>29</v>
      </c>
      <c r="C29" s="8">
        <v>23</v>
      </c>
      <c r="D29" s="7"/>
      <c r="E29" s="7"/>
      <c r="F29" s="10" t="s">
        <v>389</v>
      </c>
      <c r="G29" s="13"/>
      <c r="H29" s="10"/>
      <c r="I29" s="13"/>
      <c r="J29" s="10"/>
      <c r="K29" s="16"/>
    </row>
    <row r="30" spans="1:11" ht="14.4" x14ac:dyDescent="0.3">
      <c r="A30" s="7" t="s">
        <v>32</v>
      </c>
      <c r="B30" s="8">
        <v>29</v>
      </c>
      <c r="C30" s="8">
        <v>24</v>
      </c>
      <c r="D30" s="7"/>
      <c r="E30" s="7"/>
      <c r="F30" s="10" t="s">
        <v>390</v>
      </c>
      <c r="G30" s="13"/>
      <c r="H30" s="10"/>
      <c r="I30" s="13"/>
      <c r="J30" s="10"/>
      <c r="K30" s="16"/>
    </row>
    <row r="31" spans="1:11" ht="14.4" x14ac:dyDescent="0.3">
      <c r="A31" s="7" t="s">
        <v>32</v>
      </c>
      <c r="B31" s="8">
        <v>29</v>
      </c>
      <c r="C31" s="8">
        <v>26</v>
      </c>
      <c r="D31" s="7"/>
      <c r="E31" s="7"/>
      <c r="F31" s="10" t="s">
        <v>391</v>
      </c>
      <c r="G31" s="13"/>
      <c r="H31" s="10"/>
      <c r="I31" s="13"/>
      <c r="J31" s="10"/>
      <c r="K31" s="16"/>
    </row>
    <row r="32" spans="1:11" ht="14.4" x14ac:dyDescent="0.3">
      <c r="A32" s="7" t="s">
        <v>32</v>
      </c>
      <c r="B32" s="8">
        <v>29</v>
      </c>
      <c r="C32" s="8">
        <v>46</v>
      </c>
      <c r="D32" s="7"/>
      <c r="E32" s="7"/>
      <c r="F32" s="10" t="s">
        <v>392</v>
      </c>
      <c r="G32" s="13"/>
      <c r="H32" s="10"/>
      <c r="I32" s="13"/>
      <c r="J32" s="10"/>
      <c r="K32" s="16"/>
    </row>
    <row r="33" spans="1:11" ht="14.4" x14ac:dyDescent="0.3">
      <c r="A33" s="7" t="s">
        <v>32</v>
      </c>
      <c r="B33" s="8">
        <v>29</v>
      </c>
      <c r="C33" s="8">
        <v>47</v>
      </c>
      <c r="D33" s="7"/>
      <c r="E33" s="7"/>
      <c r="F33" s="10" t="s">
        <v>393</v>
      </c>
      <c r="G33" s="13"/>
      <c r="H33" s="10"/>
      <c r="I33" s="13"/>
      <c r="J33" s="10"/>
      <c r="K33" s="16"/>
    </row>
    <row r="34" spans="1:11" ht="14.4" x14ac:dyDescent="0.3">
      <c r="A34" s="7" t="s">
        <v>32</v>
      </c>
      <c r="B34" s="8">
        <v>29</v>
      </c>
      <c r="C34" s="8">
        <v>50</v>
      </c>
      <c r="D34" s="7"/>
      <c r="E34" s="7"/>
      <c r="F34" s="10" t="s">
        <v>394</v>
      </c>
      <c r="G34" s="13"/>
      <c r="H34" s="10"/>
      <c r="I34" s="13"/>
      <c r="J34" s="10"/>
      <c r="K34" s="16"/>
    </row>
    <row r="35" spans="1:11" ht="14.4" x14ac:dyDescent="0.3">
      <c r="A35" s="7" t="s">
        <v>32</v>
      </c>
      <c r="B35" s="8">
        <v>29</v>
      </c>
      <c r="C35" s="8">
        <v>79</v>
      </c>
      <c r="D35" s="7"/>
      <c r="E35" s="7"/>
      <c r="F35" s="10" t="s">
        <v>395</v>
      </c>
      <c r="G35" s="13"/>
      <c r="H35" s="10"/>
      <c r="I35" s="13"/>
      <c r="J35" s="10"/>
      <c r="K35" s="16"/>
    </row>
    <row r="36" spans="1:11" ht="14.4" x14ac:dyDescent="0.3">
      <c r="A36" s="7" t="s">
        <v>32</v>
      </c>
      <c r="B36" s="8">
        <v>29</v>
      </c>
      <c r="C36" s="8">
        <v>81</v>
      </c>
      <c r="D36" s="7"/>
      <c r="E36" s="7"/>
      <c r="F36" s="10" t="s">
        <v>396</v>
      </c>
      <c r="G36" s="13"/>
      <c r="H36" s="10"/>
      <c r="I36" s="13"/>
      <c r="J36" s="10"/>
      <c r="K36" s="16"/>
    </row>
    <row r="37" spans="1:11" ht="14.4" x14ac:dyDescent="0.3">
      <c r="A37" s="7" t="s">
        <v>32</v>
      </c>
      <c r="B37" s="8">
        <v>29</v>
      </c>
      <c r="C37" s="8">
        <v>86</v>
      </c>
      <c r="D37" s="7"/>
      <c r="E37" s="7"/>
      <c r="F37" s="10" t="s">
        <v>397</v>
      </c>
      <c r="G37" s="13"/>
      <c r="H37" s="10"/>
      <c r="I37" s="13"/>
      <c r="J37" s="10"/>
      <c r="K37" s="16"/>
    </row>
    <row r="38" spans="1:11" ht="14.4" x14ac:dyDescent="0.3">
      <c r="A38" s="7" t="s">
        <v>32</v>
      </c>
      <c r="B38" s="8">
        <v>29</v>
      </c>
      <c r="C38" s="8">
        <v>95</v>
      </c>
      <c r="D38" s="7"/>
      <c r="E38" s="7"/>
      <c r="F38" s="10" t="s">
        <v>398</v>
      </c>
      <c r="G38" s="13"/>
      <c r="H38" s="10"/>
      <c r="I38" s="13"/>
      <c r="J38" s="10"/>
      <c r="K38" s="16"/>
    </row>
    <row r="39" spans="1:11" ht="14.4" x14ac:dyDescent="0.3">
      <c r="A39" s="7" t="s">
        <v>32</v>
      </c>
      <c r="B39" s="8">
        <v>31</v>
      </c>
      <c r="C39" s="8">
        <v>83</v>
      </c>
      <c r="D39" s="7"/>
      <c r="E39" s="7"/>
      <c r="F39" s="64"/>
      <c r="G39" s="13"/>
      <c r="H39" s="10"/>
      <c r="I39" s="13"/>
      <c r="J39" s="10"/>
      <c r="K39" s="16"/>
    </row>
    <row r="40" spans="1:11" ht="14.4" x14ac:dyDescent="0.3">
      <c r="A40" s="7" t="s">
        <v>32</v>
      </c>
      <c r="B40" s="8">
        <v>1</v>
      </c>
      <c r="C40" s="66">
        <v>1</v>
      </c>
      <c r="D40" s="7"/>
      <c r="E40" s="7"/>
      <c r="F40" s="10" t="s">
        <v>399</v>
      </c>
      <c r="G40" s="13"/>
      <c r="H40" s="10"/>
      <c r="I40" s="13"/>
      <c r="J40" s="10"/>
      <c r="K40" s="16"/>
    </row>
    <row r="41" spans="1:11" ht="14.4" x14ac:dyDescent="0.3">
      <c r="A41" s="7" t="s">
        <v>32</v>
      </c>
      <c r="B41" s="8">
        <v>2</v>
      </c>
      <c r="C41" s="66">
        <v>2</v>
      </c>
      <c r="D41" s="7"/>
      <c r="E41" s="7"/>
      <c r="F41" s="10" t="s">
        <v>400</v>
      </c>
      <c r="G41" s="13"/>
      <c r="H41" s="10"/>
      <c r="I41" s="13"/>
      <c r="J41" s="10"/>
      <c r="K41" s="16"/>
    </row>
    <row r="42" spans="1:11" ht="14.4" x14ac:dyDescent="0.3">
      <c r="A42" s="7" t="s">
        <v>32</v>
      </c>
      <c r="B42" s="8">
        <v>8</v>
      </c>
      <c r="C42" s="66">
        <v>8</v>
      </c>
      <c r="D42" s="7"/>
      <c r="E42" s="7"/>
      <c r="F42" s="10" t="s">
        <v>401</v>
      </c>
      <c r="G42" s="13"/>
      <c r="H42" s="10"/>
      <c r="I42" s="13"/>
      <c r="J42" s="10"/>
      <c r="K42" s="16"/>
    </row>
    <row r="43" spans="1:11" ht="14.4" x14ac:dyDescent="0.3">
      <c r="A43" s="7" t="s">
        <v>32</v>
      </c>
      <c r="B43" s="8">
        <v>10</v>
      </c>
      <c r="C43" s="66">
        <v>10</v>
      </c>
      <c r="D43" s="7"/>
      <c r="E43" s="7"/>
      <c r="F43" s="10" t="s">
        <v>402</v>
      </c>
      <c r="G43" s="13"/>
      <c r="H43" s="10"/>
      <c r="I43" s="13"/>
      <c r="J43" s="10"/>
      <c r="K43" s="16"/>
    </row>
    <row r="44" spans="1:11" ht="14.4" x14ac:dyDescent="0.3">
      <c r="A44" s="7" t="s">
        <v>32</v>
      </c>
      <c r="B44" s="8">
        <v>11</v>
      </c>
      <c r="C44" s="66">
        <v>11</v>
      </c>
      <c r="D44" s="7"/>
      <c r="E44" s="7"/>
      <c r="F44" s="10" t="s">
        <v>403</v>
      </c>
      <c r="G44" s="13"/>
      <c r="H44" s="10"/>
      <c r="I44" s="13"/>
      <c r="J44" s="10"/>
      <c r="K44" s="16"/>
    </row>
    <row r="45" spans="1:11" ht="14.4" x14ac:dyDescent="0.3">
      <c r="A45" s="19" t="s">
        <v>32</v>
      </c>
      <c r="B45" s="20">
        <v>12</v>
      </c>
      <c r="C45" s="67">
        <v>12</v>
      </c>
      <c r="D45" s="19"/>
      <c r="E45" s="19"/>
      <c r="F45" s="10" t="s">
        <v>404</v>
      </c>
      <c r="G45" s="13"/>
      <c r="H45" s="10"/>
      <c r="I45" s="13"/>
      <c r="J45" s="10"/>
      <c r="K45" s="16"/>
    </row>
    <row r="46" spans="1:11" ht="14.4" x14ac:dyDescent="0.3">
      <c r="A46" s="7" t="s">
        <v>32</v>
      </c>
      <c r="B46" s="8">
        <v>13</v>
      </c>
      <c r="C46" s="66">
        <v>13</v>
      </c>
      <c r="D46" s="7"/>
      <c r="E46" s="7"/>
      <c r="F46" s="10" t="s">
        <v>405</v>
      </c>
      <c r="G46" s="13"/>
      <c r="H46" s="10"/>
      <c r="I46" s="13"/>
      <c r="J46" s="10"/>
      <c r="K46" s="16"/>
    </row>
    <row r="47" spans="1:11" ht="14.4" x14ac:dyDescent="0.3">
      <c r="A47" s="7" t="s">
        <v>32</v>
      </c>
      <c r="B47" s="8">
        <v>22</v>
      </c>
      <c r="C47" s="66">
        <v>22</v>
      </c>
      <c r="D47" s="7"/>
      <c r="E47" s="7"/>
      <c r="F47" s="10" t="s">
        <v>406</v>
      </c>
      <c r="G47" s="13"/>
      <c r="H47" s="10"/>
      <c r="I47" s="13"/>
      <c r="J47" s="10"/>
      <c r="K47" s="16"/>
    </row>
    <row r="48" spans="1:11" ht="14.4" x14ac:dyDescent="0.3">
      <c r="A48" s="7" t="s">
        <v>32</v>
      </c>
      <c r="B48" s="8">
        <v>24</v>
      </c>
      <c r="C48" s="66">
        <v>24</v>
      </c>
      <c r="D48" s="7"/>
      <c r="E48" s="7"/>
      <c r="F48" s="10" t="s">
        <v>390</v>
      </c>
      <c r="G48" s="13"/>
      <c r="H48" s="10"/>
      <c r="I48" s="13"/>
      <c r="J48" s="10"/>
      <c r="K48" s="16"/>
    </row>
    <row r="49" spans="1:11" ht="14.4" x14ac:dyDescent="0.3">
      <c r="A49" s="53" t="s">
        <v>32</v>
      </c>
      <c r="B49" s="54">
        <v>32</v>
      </c>
      <c r="C49" s="68">
        <v>32</v>
      </c>
      <c r="D49" s="53"/>
      <c r="E49" s="53"/>
      <c r="F49" s="55" t="s">
        <v>407</v>
      </c>
      <c r="G49" s="56"/>
      <c r="H49" s="55"/>
      <c r="I49" s="13"/>
      <c r="J49" s="10"/>
      <c r="K49" s="16"/>
    </row>
    <row r="50" spans="1:11" ht="14.4" x14ac:dyDescent="0.3">
      <c r="A50" s="7" t="s">
        <v>32</v>
      </c>
      <c r="B50" s="8">
        <v>42</v>
      </c>
      <c r="C50" s="66">
        <v>42</v>
      </c>
      <c r="D50" s="7"/>
      <c r="E50" s="7"/>
      <c r="F50" s="10" t="s">
        <v>408</v>
      </c>
      <c r="G50" s="13"/>
      <c r="H50" s="10"/>
      <c r="I50" s="13"/>
      <c r="J50" s="10"/>
      <c r="K50" s="16"/>
    </row>
    <row r="51" spans="1:11" ht="14.4" x14ac:dyDescent="0.3">
      <c r="A51" s="7" t="s">
        <v>32</v>
      </c>
      <c r="B51" s="8" t="s">
        <v>409</v>
      </c>
      <c r="C51" s="8"/>
      <c r="D51" s="7"/>
      <c r="E51" s="7"/>
      <c r="F51" s="10" t="s">
        <v>410</v>
      </c>
      <c r="G51" s="13"/>
      <c r="H51" s="10"/>
      <c r="I51" s="13"/>
      <c r="J51" s="10"/>
      <c r="K51" s="16"/>
    </row>
    <row r="52" spans="1:11" ht="14.4" x14ac:dyDescent="0.3">
      <c r="A52" s="7" t="s">
        <v>32</v>
      </c>
      <c r="B52" s="8" t="s">
        <v>213</v>
      </c>
      <c r="C52" s="8"/>
      <c r="D52" s="65" t="s">
        <v>411</v>
      </c>
      <c r="E52" s="7"/>
      <c r="F52" s="64" t="s">
        <v>412</v>
      </c>
      <c r="G52" s="13"/>
      <c r="H52" s="10"/>
      <c r="I52" s="13"/>
      <c r="J52" s="10"/>
      <c r="K52" s="16"/>
    </row>
    <row r="53" spans="1:11" ht="15" customHeight="1" x14ac:dyDescent="0.3">
      <c r="A53" s="57" t="s">
        <v>32</v>
      </c>
      <c r="B53" s="58">
        <v>32</v>
      </c>
      <c r="C53" s="58">
        <v>83</v>
      </c>
      <c r="D53" s="57"/>
      <c r="E53" s="57"/>
      <c r="F53" s="57"/>
      <c r="G53" s="59"/>
      <c r="H53" s="57" t="s">
        <v>413</v>
      </c>
    </row>
    <row r="54" spans="1:11" ht="15" customHeight="1" x14ac:dyDescent="0.3">
      <c r="A54" s="57" t="s">
        <v>32</v>
      </c>
      <c r="B54" s="58">
        <v>32</v>
      </c>
      <c r="C54" s="58">
        <v>82</v>
      </c>
      <c r="D54" s="57"/>
      <c r="E54" s="57"/>
      <c r="F54" s="57"/>
      <c r="G54" s="59"/>
      <c r="H54" s="57" t="s">
        <v>414</v>
      </c>
    </row>
    <row r="55" spans="1:11" ht="15" customHeight="1" x14ac:dyDescent="0.3">
      <c r="A55" s="57"/>
      <c r="B55" s="58"/>
      <c r="C55" s="58"/>
      <c r="D55" s="57"/>
      <c r="E55" s="57"/>
      <c r="F55" s="57"/>
      <c r="G55" s="59"/>
      <c r="H55" s="57"/>
    </row>
    <row r="58" spans="1:11" ht="15" customHeight="1" x14ac:dyDescent="0.3">
      <c r="A58" s="69" t="s">
        <v>415</v>
      </c>
    </row>
    <row r="59" spans="1:11" ht="41.25" customHeight="1" x14ac:dyDescent="0.3">
      <c r="A59" s="70" t="s">
        <v>416</v>
      </c>
      <c r="B59" s="70" t="s">
        <v>417</v>
      </c>
      <c r="C59" s="70" t="s">
        <v>418</v>
      </c>
      <c r="D59" s="70" t="s">
        <v>419</v>
      </c>
      <c r="E59" s="70" t="s">
        <v>420</v>
      </c>
      <c r="F59" s="70" t="s">
        <v>421</v>
      </c>
      <c r="G59" s="70" t="s">
        <v>422</v>
      </c>
      <c r="H59" s="70" t="s">
        <v>423</v>
      </c>
      <c r="I59"/>
    </row>
    <row r="60" spans="1:11" ht="15" customHeight="1" x14ac:dyDescent="0.3">
      <c r="A60" s="71" t="s">
        <v>67</v>
      </c>
      <c r="B60" s="72" t="s">
        <v>357</v>
      </c>
      <c r="C60" s="71"/>
      <c r="D60" s="72">
        <v>45267.563888888886</v>
      </c>
      <c r="E60" s="71" t="s">
        <v>424</v>
      </c>
      <c r="F60" s="71">
        <v>683957</v>
      </c>
      <c r="G60" s="71" t="s">
        <v>67</v>
      </c>
      <c r="H60" s="71" t="s">
        <v>425</v>
      </c>
      <c r="I60"/>
    </row>
  </sheetData>
  <autoFilter ref="A1:K52" xr:uid="{A4B7968C-88D8-493C-8881-2B6D0BBA1932}"/>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A989D-4167-46C8-AD2E-843EA46A5880}">
  <dimension ref="A1:L58"/>
  <sheetViews>
    <sheetView workbookViewId="0">
      <pane xSplit="2" ySplit="1" topLeftCell="D29" activePane="bottomRight" state="frozen"/>
      <selection pane="topRight" activeCell="C1" sqref="C1"/>
      <selection pane="bottomLeft" activeCell="A2" sqref="A2"/>
      <selection pane="bottomRight" activeCell="D29" sqref="D29"/>
    </sheetView>
  </sheetViews>
  <sheetFormatPr defaultRowHeight="14.4" x14ac:dyDescent="0.3"/>
  <cols>
    <col min="1" max="1" width="19" customWidth="1"/>
    <col min="2" max="2" width="16.44140625" customWidth="1"/>
    <col min="3" max="3" width="49.33203125" style="3" customWidth="1"/>
    <col min="4" max="4" width="48.6640625" style="3" customWidth="1"/>
    <col min="5" max="5" width="40.33203125" style="3" customWidth="1"/>
    <col min="6" max="6" width="49" style="3" customWidth="1"/>
    <col min="7" max="8" width="46.44140625" customWidth="1"/>
    <col min="9" max="9" width="28.6640625" customWidth="1"/>
    <col min="10" max="10" width="22.6640625" customWidth="1"/>
    <col min="11" max="11" width="49" style="3" customWidth="1"/>
    <col min="12" max="12" width="40.33203125" style="3" customWidth="1"/>
    <col min="14" max="14" width="42.33203125" customWidth="1"/>
  </cols>
  <sheetData>
    <row r="1" spans="1:12" x14ac:dyDescent="0.3">
      <c r="A1" s="21" t="s">
        <v>426</v>
      </c>
      <c r="B1" s="22" t="s">
        <v>427</v>
      </c>
      <c r="C1" s="22" t="s">
        <v>428</v>
      </c>
      <c r="D1" s="22" t="s">
        <v>429</v>
      </c>
      <c r="E1" s="22" t="s">
        <v>430</v>
      </c>
      <c r="F1" s="22" t="s">
        <v>431</v>
      </c>
      <c r="G1" s="22" t="s">
        <v>432</v>
      </c>
      <c r="H1" s="22" t="s">
        <v>346</v>
      </c>
      <c r="I1" s="22" t="s">
        <v>433</v>
      </c>
      <c r="K1"/>
      <c r="L1"/>
    </row>
    <row r="2" spans="1:12" ht="43.2" x14ac:dyDescent="0.3">
      <c r="A2" s="23" t="s">
        <v>434</v>
      </c>
      <c r="B2" s="24" t="s">
        <v>435</v>
      </c>
      <c r="C2" s="24" t="s">
        <v>436</v>
      </c>
      <c r="D2" s="24" t="s">
        <v>437</v>
      </c>
      <c r="E2" s="24" t="s">
        <v>438</v>
      </c>
      <c r="F2" s="24" t="s">
        <v>439</v>
      </c>
      <c r="G2" s="24"/>
      <c r="H2" s="24"/>
      <c r="I2" s="24"/>
      <c r="K2"/>
      <c r="L2"/>
    </row>
    <row r="3" spans="1:12" ht="43.2" x14ac:dyDescent="0.3">
      <c r="A3" s="23" t="s">
        <v>434</v>
      </c>
      <c r="B3" s="24" t="s">
        <v>440</v>
      </c>
      <c r="C3" s="24" t="s">
        <v>392</v>
      </c>
      <c r="D3" s="24" t="s">
        <v>441</v>
      </c>
      <c r="E3" s="24" t="s">
        <v>442</v>
      </c>
      <c r="F3" s="24" t="s">
        <v>443</v>
      </c>
      <c r="G3" s="24"/>
      <c r="H3" s="24"/>
      <c r="I3" s="24"/>
      <c r="K3"/>
      <c r="L3"/>
    </row>
    <row r="4" spans="1:12" ht="28.8" x14ac:dyDescent="0.3">
      <c r="A4" s="23" t="s">
        <v>434</v>
      </c>
      <c r="B4" s="24" t="s">
        <v>444</v>
      </c>
      <c r="C4" s="24" t="s">
        <v>393</v>
      </c>
      <c r="D4" s="24" t="s">
        <v>445</v>
      </c>
      <c r="E4" s="24"/>
      <c r="F4" s="24" t="s">
        <v>446</v>
      </c>
      <c r="G4" s="24"/>
      <c r="H4" s="24"/>
      <c r="I4" s="24"/>
      <c r="K4"/>
      <c r="L4"/>
    </row>
    <row r="5" spans="1:12" ht="72" x14ac:dyDescent="0.3">
      <c r="A5" s="23" t="s">
        <v>434</v>
      </c>
      <c r="B5" s="24" t="s">
        <v>447</v>
      </c>
      <c r="C5" s="24" t="s">
        <v>448</v>
      </c>
      <c r="D5" s="24" t="s">
        <v>449</v>
      </c>
      <c r="E5" s="24" t="s">
        <v>450</v>
      </c>
      <c r="F5" s="24" t="s">
        <v>451</v>
      </c>
      <c r="G5" s="24"/>
      <c r="H5" s="24"/>
      <c r="I5" s="24"/>
      <c r="K5"/>
      <c r="L5"/>
    </row>
    <row r="6" spans="1:12" ht="43.2" x14ac:dyDescent="0.3">
      <c r="A6" s="23" t="s">
        <v>434</v>
      </c>
      <c r="B6" s="24" t="s">
        <v>452</v>
      </c>
      <c r="C6" s="24" t="s">
        <v>453</v>
      </c>
      <c r="D6" s="24"/>
      <c r="E6" s="24" t="s">
        <v>454</v>
      </c>
      <c r="F6" s="24" t="s">
        <v>455</v>
      </c>
      <c r="G6" s="24"/>
      <c r="H6" s="24"/>
      <c r="I6" s="24"/>
      <c r="K6"/>
      <c r="L6"/>
    </row>
    <row r="7" spans="1:12" ht="43.2" x14ac:dyDescent="0.3">
      <c r="A7" s="23" t="s">
        <v>434</v>
      </c>
      <c r="B7" s="24" t="s">
        <v>456</v>
      </c>
      <c r="C7" s="24" t="s">
        <v>457</v>
      </c>
      <c r="D7" s="24" t="s">
        <v>458</v>
      </c>
      <c r="E7" s="24" t="s">
        <v>459</v>
      </c>
      <c r="F7" s="24"/>
      <c r="G7" s="24"/>
      <c r="H7" s="24"/>
      <c r="I7" s="24"/>
      <c r="K7"/>
      <c r="L7"/>
    </row>
    <row r="8" spans="1:12" ht="43.2" x14ac:dyDescent="0.3">
      <c r="A8" s="23" t="s">
        <v>434</v>
      </c>
      <c r="B8" s="24" t="s">
        <v>460</v>
      </c>
      <c r="C8" s="24" t="s">
        <v>461</v>
      </c>
      <c r="D8" s="24" t="s">
        <v>462</v>
      </c>
      <c r="E8" s="24" t="s">
        <v>463</v>
      </c>
      <c r="F8" s="24" t="s">
        <v>464</v>
      </c>
      <c r="G8" s="24"/>
      <c r="H8" s="24"/>
      <c r="I8" s="24"/>
      <c r="K8"/>
      <c r="L8"/>
    </row>
    <row r="9" spans="1:12" ht="28.8" x14ac:dyDescent="0.3">
      <c r="A9" s="23" t="s">
        <v>434</v>
      </c>
      <c r="B9" s="24" t="s">
        <v>465</v>
      </c>
      <c r="C9" s="24" t="s">
        <v>466</v>
      </c>
      <c r="D9" s="24" t="s">
        <v>467</v>
      </c>
      <c r="E9" s="24" t="s">
        <v>468</v>
      </c>
      <c r="F9" s="24" t="s">
        <v>469</v>
      </c>
      <c r="G9" s="24"/>
      <c r="H9" s="24"/>
      <c r="I9" s="24"/>
      <c r="K9"/>
      <c r="L9"/>
    </row>
    <row r="10" spans="1:12" ht="72" x14ac:dyDescent="0.3">
      <c r="A10" s="23" t="s">
        <v>434</v>
      </c>
      <c r="B10" s="24" t="s">
        <v>470</v>
      </c>
      <c r="C10" s="24" t="s">
        <v>385</v>
      </c>
      <c r="D10" s="24" t="s">
        <v>471</v>
      </c>
      <c r="E10" s="24" t="s">
        <v>472</v>
      </c>
      <c r="F10" s="24" t="s">
        <v>473</v>
      </c>
      <c r="G10" s="24"/>
      <c r="H10" s="24"/>
      <c r="I10" s="24"/>
      <c r="K10"/>
      <c r="L10"/>
    </row>
    <row r="11" spans="1:12" ht="43.2" x14ac:dyDescent="0.3">
      <c r="A11" s="23" t="s">
        <v>434</v>
      </c>
      <c r="B11" s="24" t="s">
        <v>474</v>
      </c>
      <c r="C11" s="24" t="s">
        <v>394</v>
      </c>
      <c r="D11" s="24" t="s">
        <v>475</v>
      </c>
      <c r="E11" s="24" t="s">
        <v>476</v>
      </c>
      <c r="F11" s="24" t="s">
        <v>477</v>
      </c>
      <c r="G11" s="24"/>
      <c r="H11" s="24"/>
      <c r="I11" s="24"/>
      <c r="K11"/>
      <c r="L11"/>
    </row>
    <row r="12" spans="1:12" ht="100.8" x14ac:dyDescent="0.3">
      <c r="A12" s="23" t="s">
        <v>434</v>
      </c>
      <c r="B12" s="24" t="s">
        <v>478</v>
      </c>
      <c r="C12" s="24" t="s">
        <v>479</v>
      </c>
      <c r="D12" s="24" t="s">
        <v>480</v>
      </c>
      <c r="E12" s="24" t="s">
        <v>481</v>
      </c>
      <c r="F12" s="24"/>
      <c r="G12" s="24" t="s">
        <v>482</v>
      </c>
      <c r="H12" s="24" t="s">
        <v>483</v>
      </c>
      <c r="I12" s="24"/>
      <c r="K12"/>
      <c r="L12"/>
    </row>
    <row r="13" spans="1:12" ht="43.2" x14ac:dyDescent="0.3">
      <c r="A13" s="23" t="s">
        <v>266</v>
      </c>
      <c r="B13" s="24" t="s">
        <v>484</v>
      </c>
      <c r="C13" s="24" t="s">
        <v>485</v>
      </c>
      <c r="D13" s="24" t="s">
        <v>486</v>
      </c>
      <c r="E13" s="24" t="s">
        <v>487</v>
      </c>
      <c r="F13" s="24"/>
      <c r="G13" s="24"/>
      <c r="H13" s="24"/>
      <c r="I13" s="24"/>
      <c r="K13"/>
      <c r="L13"/>
    </row>
    <row r="14" spans="1:12" ht="43.2" x14ac:dyDescent="0.3">
      <c r="A14" s="23" t="s">
        <v>266</v>
      </c>
      <c r="B14" s="24" t="s">
        <v>488</v>
      </c>
      <c r="C14" s="24" t="s">
        <v>489</v>
      </c>
      <c r="D14" s="24" t="s">
        <v>490</v>
      </c>
      <c r="E14" s="24" t="s">
        <v>491</v>
      </c>
      <c r="F14" s="24"/>
      <c r="G14" s="24"/>
      <c r="H14" s="24"/>
      <c r="I14" s="24"/>
      <c r="K14"/>
      <c r="L14"/>
    </row>
    <row r="15" spans="1:12" ht="86.4" x14ac:dyDescent="0.3">
      <c r="A15" s="23" t="s">
        <v>266</v>
      </c>
      <c r="B15" s="24" t="s">
        <v>492</v>
      </c>
      <c r="C15" s="24" t="s">
        <v>380</v>
      </c>
      <c r="D15" s="24" t="s">
        <v>493</v>
      </c>
      <c r="E15" s="24" t="s">
        <v>494</v>
      </c>
      <c r="F15" s="24" t="s">
        <v>495</v>
      </c>
      <c r="G15" s="24"/>
      <c r="H15" s="24"/>
      <c r="I15" s="24"/>
      <c r="K15"/>
      <c r="L15"/>
    </row>
    <row r="16" spans="1:12" ht="72" x14ac:dyDescent="0.3">
      <c r="A16" s="23" t="s">
        <v>266</v>
      </c>
      <c r="B16" s="24" t="s">
        <v>496</v>
      </c>
      <c r="C16" s="24" t="s">
        <v>385</v>
      </c>
      <c r="D16" s="24" t="s">
        <v>471</v>
      </c>
      <c r="E16" s="24" t="s">
        <v>497</v>
      </c>
      <c r="F16" s="24" t="s">
        <v>498</v>
      </c>
      <c r="G16" s="24"/>
      <c r="H16" s="24"/>
      <c r="I16" s="24"/>
      <c r="K16"/>
      <c r="L16"/>
    </row>
    <row r="17" spans="1:12" ht="43.2" x14ac:dyDescent="0.3">
      <c r="A17" s="23" t="s">
        <v>266</v>
      </c>
      <c r="B17" s="24" t="s">
        <v>499</v>
      </c>
      <c r="C17" s="24" t="s">
        <v>500</v>
      </c>
      <c r="D17" s="24" t="s">
        <v>501</v>
      </c>
      <c r="E17" s="24" t="s">
        <v>502</v>
      </c>
      <c r="F17" s="24"/>
      <c r="G17" s="24"/>
      <c r="H17" s="24"/>
      <c r="I17" s="24"/>
      <c r="K17"/>
      <c r="L17"/>
    </row>
    <row r="18" spans="1:12" ht="28.8" x14ac:dyDescent="0.3">
      <c r="A18" s="23" t="s">
        <v>266</v>
      </c>
      <c r="B18" s="24" t="s">
        <v>503</v>
      </c>
      <c r="C18" s="24" t="s">
        <v>504</v>
      </c>
      <c r="D18" s="24" t="s">
        <v>505</v>
      </c>
      <c r="E18" s="24" t="s">
        <v>506</v>
      </c>
      <c r="F18" s="24"/>
      <c r="G18" s="24"/>
      <c r="H18" s="24"/>
      <c r="I18" s="24"/>
      <c r="K18"/>
      <c r="L18"/>
    </row>
    <row r="19" spans="1:12" ht="43.2" x14ac:dyDescent="0.3">
      <c r="A19" s="23" t="s">
        <v>266</v>
      </c>
      <c r="B19" s="24" t="s">
        <v>507</v>
      </c>
      <c r="C19" s="24" t="s">
        <v>508</v>
      </c>
      <c r="D19" s="24" t="s">
        <v>509</v>
      </c>
      <c r="E19" s="24" t="s">
        <v>510</v>
      </c>
      <c r="F19" s="24" t="s">
        <v>511</v>
      </c>
      <c r="G19" s="24"/>
      <c r="H19" s="24"/>
      <c r="I19" s="24"/>
      <c r="K19"/>
      <c r="L19"/>
    </row>
    <row r="20" spans="1:12" ht="43.2" x14ac:dyDescent="0.3">
      <c r="A20" s="23" t="s">
        <v>266</v>
      </c>
      <c r="B20" s="24" t="s">
        <v>512</v>
      </c>
      <c r="C20" s="24" t="s">
        <v>513</v>
      </c>
      <c r="D20" s="24" t="s">
        <v>514</v>
      </c>
      <c r="E20" s="24" t="s">
        <v>515</v>
      </c>
      <c r="F20" s="24" t="s">
        <v>516</v>
      </c>
      <c r="G20" s="24"/>
      <c r="H20" s="24"/>
      <c r="I20" s="24"/>
      <c r="K20"/>
      <c r="L20"/>
    </row>
    <row r="21" spans="1:12" ht="43.2" x14ac:dyDescent="0.3">
      <c r="A21" s="23" t="s">
        <v>266</v>
      </c>
      <c r="B21" s="24" t="s">
        <v>517</v>
      </c>
      <c r="C21" s="24" t="s">
        <v>518</v>
      </c>
      <c r="D21" s="24" t="s">
        <v>519</v>
      </c>
      <c r="E21" s="24" t="s">
        <v>520</v>
      </c>
      <c r="F21" s="24" t="s">
        <v>521</v>
      </c>
      <c r="G21" s="24"/>
      <c r="H21" s="24"/>
      <c r="I21" s="24"/>
      <c r="K21"/>
      <c r="L21"/>
    </row>
    <row r="22" spans="1:12" ht="72" x14ac:dyDescent="0.3">
      <c r="A22" s="23" t="s">
        <v>266</v>
      </c>
      <c r="B22" s="24" t="s">
        <v>522</v>
      </c>
      <c r="C22" s="24" t="s">
        <v>523</v>
      </c>
      <c r="D22" s="24" t="s">
        <v>524</v>
      </c>
      <c r="E22" s="24" t="s">
        <v>525</v>
      </c>
      <c r="F22" s="24"/>
      <c r="G22" s="24"/>
      <c r="H22" s="24"/>
      <c r="I22" s="24"/>
      <c r="K22"/>
      <c r="L22"/>
    </row>
    <row r="23" spans="1:12" ht="72" x14ac:dyDescent="0.3">
      <c r="A23" s="23" t="s">
        <v>526</v>
      </c>
      <c r="B23" s="24" t="s">
        <v>527</v>
      </c>
      <c r="C23" s="24" t="s">
        <v>528</v>
      </c>
      <c r="D23" s="24" t="s">
        <v>529</v>
      </c>
      <c r="E23" s="24" t="s">
        <v>530</v>
      </c>
      <c r="F23" s="24"/>
      <c r="G23" s="24"/>
      <c r="H23" s="24"/>
      <c r="I23" s="24"/>
      <c r="K23"/>
      <c r="L23"/>
    </row>
    <row r="24" spans="1:12" ht="72" x14ac:dyDescent="0.3">
      <c r="A24" s="23" t="s">
        <v>526</v>
      </c>
      <c r="B24" s="24" t="s">
        <v>492</v>
      </c>
      <c r="C24" s="24" t="s">
        <v>380</v>
      </c>
      <c r="D24" s="24" t="s">
        <v>493</v>
      </c>
      <c r="E24" s="24" t="s">
        <v>531</v>
      </c>
      <c r="F24" s="24" t="s">
        <v>532</v>
      </c>
      <c r="G24" s="24"/>
      <c r="H24" s="24"/>
      <c r="I24" s="24"/>
      <c r="K24"/>
      <c r="L24"/>
    </row>
    <row r="25" spans="1:12" ht="28.8" x14ac:dyDescent="0.3">
      <c r="A25" s="23" t="s">
        <v>526</v>
      </c>
      <c r="B25" s="24" t="s">
        <v>533</v>
      </c>
      <c r="C25" s="24" t="s">
        <v>381</v>
      </c>
      <c r="D25" s="24" t="s">
        <v>534</v>
      </c>
      <c r="E25" s="24" t="s">
        <v>535</v>
      </c>
      <c r="F25" s="24" t="s">
        <v>536</v>
      </c>
      <c r="G25" s="24"/>
      <c r="H25" s="24"/>
      <c r="I25" s="24"/>
      <c r="K25"/>
      <c r="L25"/>
    </row>
    <row r="26" spans="1:12" ht="43.2" x14ac:dyDescent="0.3">
      <c r="A26" s="23" t="s">
        <v>526</v>
      </c>
      <c r="B26" s="24" t="s">
        <v>537</v>
      </c>
      <c r="C26" s="24" t="s">
        <v>382</v>
      </c>
      <c r="D26" s="24" t="s">
        <v>538</v>
      </c>
      <c r="E26" s="24" t="s">
        <v>539</v>
      </c>
      <c r="F26" s="24" t="s">
        <v>540</v>
      </c>
      <c r="G26" s="24"/>
      <c r="H26" s="24"/>
      <c r="I26" s="24"/>
      <c r="K26"/>
      <c r="L26"/>
    </row>
    <row r="27" spans="1:12" ht="28.8" x14ac:dyDescent="0.3">
      <c r="A27" s="23" t="s">
        <v>526</v>
      </c>
      <c r="B27" s="24" t="s">
        <v>541</v>
      </c>
      <c r="C27" s="24" t="s">
        <v>377</v>
      </c>
      <c r="D27" s="24" t="s">
        <v>542</v>
      </c>
      <c r="E27" s="24" t="s">
        <v>543</v>
      </c>
      <c r="F27" s="24" t="s">
        <v>544</v>
      </c>
      <c r="G27" s="24"/>
      <c r="H27" s="24"/>
      <c r="I27" s="24"/>
      <c r="K27"/>
      <c r="L27"/>
    </row>
    <row r="28" spans="1:12" ht="43.2" x14ac:dyDescent="0.3">
      <c r="A28" s="23" t="s">
        <v>526</v>
      </c>
      <c r="B28" s="24" t="s">
        <v>545</v>
      </c>
      <c r="C28" s="24" t="s">
        <v>378</v>
      </c>
      <c r="D28" s="24" t="s">
        <v>546</v>
      </c>
      <c r="E28" s="24" t="s">
        <v>547</v>
      </c>
      <c r="F28" s="24" t="s">
        <v>548</v>
      </c>
      <c r="G28" s="24"/>
      <c r="H28" s="24"/>
      <c r="I28" s="24"/>
      <c r="K28"/>
      <c r="L28"/>
    </row>
    <row r="29" spans="1:12" ht="57.6" x14ac:dyDescent="0.3">
      <c r="A29" s="23" t="s">
        <v>526</v>
      </c>
      <c r="B29" s="24" t="s">
        <v>549</v>
      </c>
      <c r="C29" s="24" t="s">
        <v>383</v>
      </c>
      <c r="D29" s="24" t="s">
        <v>550</v>
      </c>
      <c r="E29" s="24" t="s">
        <v>551</v>
      </c>
      <c r="F29" s="24" t="s">
        <v>552</v>
      </c>
      <c r="G29" s="24"/>
      <c r="H29" s="24"/>
      <c r="I29" s="24"/>
      <c r="K29"/>
      <c r="L29"/>
    </row>
    <row r="30" spans="1:12" ht="28.8" x14ac:dyDescent="0.3">
      <c r="A30" s="23" t="s">
        <v>526</v>
      </c>
      <c r="B30" s="24" t="s">
        <v>553</v>
      </c>
      <c r="C30" s="24" t="s">
        <v>554</v>
      </c>
      <c r="D30" s="24" t="s">
        <v>555</v>
      </c>
      <c r="E30" s="24" t="s">
        <v>556</v>
      </c>
      <c r="F30" s="24" t="s">
        <v>557</v>
      </c>
      <c r="G30" s="24"/>
      <c r="H30" s="24"/>
      <c r="I30" s="24"/>
      <c r="K30"/>
      <c r="L30"/>
    </row>
    <row r="31" spans="1:12" ht="57.6" x14ac:dyDescent="0.3">
      <c r="A31" s="23" t="s">
        <v>526</v>
      </c>
      <c r="B31" s="24" t="s">
        <v>558</v>
      </c>
      <c r="C31" s="24" t="s">
        <v>376</v>
      </c>
      <c r="D31" s="24" t="s">
        <v>559</v>
      </c>
      <c r="E31" s="24" t="s">
        <v>560</v>
      </c>
      <c r="F31" s="24" t="s">
        <v>561</v>
      </c>
      <c r="G31" s="24"/>
      <c r="H31" s="24"/>
      <c r="I31" s="24"/>
      <c r="K31"/>
      <c r="L31"/>
    </row>
    <row r="32" spans="1:12" ht="72" x14ac:dyDescent="0.3">
      <c r="A32" s="23" t="s">
        <v>526</v>
      </c>
      <c r="B32" s="24" t="s">
        <v>562</v>
      </c>
      <c r="C32" s="24" t="s">
        <v>563</v>
      </c>
      <c r="D32" s="24" t="s">
        <v>564</v>
      </c>
      <c r="E32" s="24" t="s">
        <v>565</v>
      </c>
      <c r="F32" s="24" t="s">
        <v>566</v>
      </c>
      <c r="G32" s="24"/>
      <c r="H32" s="24"/>
      <c r="I32" s="24"/>
      <c r="K32"/>
      <c r="L32"/>
    </row>
    <row r="33" spans="1:12" ht="43.2" x14ac:dyDescent="0.3">
      <c r="A33" s="23" t="s">
        <v>526</v>
      </c>
      <c r="B33" s="24" t="s">
        <v>567</v>
      </c>
      <c r="C33" s="24" t="s">
        <v>373</v>
      </c>
      <c r="D33" s="24" t="s">
        <v>568</v>
      </c>
      <c r="E33" s="24" t="s">
        <v>569</v>
      </c>
      <c r="F33" s="24" t="s">
        <v>570</v>
      </c>
      <c r="G33" s="24"/>
      <c r="H33" s="24"/>
      <c r="I33" s="24"/>
      <c r="K33"/>
      <c r="L33"/>
    </row>
    <row r="34" spans="1:12" ht="86.4" x14ac:dyDescent="0.3">
      <c r="A34" s="23" t="s">
        <v>526</v>
      </c>
      <c r="B34" s="24" t="s">
        <v>571</v>
      </c>
      <c r="C34" s="24" t="s">
        <v>374</v>
      </c>
      <c r="D34" s="24" t="s">
        <v>572</v>
      </c>
      <c r="E34" s="24" t="s">
        <v>573</v>
      </c>
      <c r="F34" s="24" t="s">
        <v>574</v>
      </c>
      <c r="G34" s="24"/>
      <c r="H34" s="24"/>
      <c r="I34" s="24"/>
      <c r="K34"/>
      <c r="L34"/>
    </row>
    <row r="35" spans="1:12" ht="43.2" x14ac:dyDescent="0.3">
      <c r="A35" s="23" t="s">
        <v>526</v>
      </c>
      <c r="B35" s="24" t="s">
        <v>575</v>
      </c>
      <c r="C35" s="24" t="s">
        <v>576</v>
      </c>
      <c r="D35" s="24" t="s">
        <v>577</v>
      </c>
      <c r="E35" s="24" t="s">
        <v>578</v>
      </c>
      <c r="F35" s="24" t="s">
        <v>579</v>
      </c>
      <c r="G35" s="24"/>
      <c r="H35" s="24"/>
      <c r="I35" s="24"/>
      <c r="K35"/>
      <c r="L35"/>
    </row>
    <row r="36" spans="1:12" ht="43.2" x14ac:dyDescent="0.3">
      <c r="A36" s="23" t="s">
        <v>526</v>
      </c>
      <c r="B36" s="24" t="s">
        <v>580</v>
      </c>
      <c r="C36" s="24" t="s">
        <v>581</v>
      </c>
      <c r="D36" s="24" t="s">
        <v>582</v>
      </c>
      <c r="E36" s="24" t="s">
        <v>583</v>
      </c>
      <c r="F36" s="24" t="s">
        <v>584</v>
      </c>
      <c r="G36" s="24"/>
      <c r="H36" s="24"/>
      <c r="I36" s="24"/>
      <c r="K36"/>
      <c r="L36"/>
    </row>
    <row r="37" spans="1:12" ht="43.2" x14ac:dyDescent="0.3">
      <c r="A37" s="23" t="s">
        <v>526</v>
      </c>
      <c r="B37" s="24" t="s">
        <v>460</v>
      </c>
      <c r="C37" s="24" t="s">
        <v>461</v>
      </c>
      <c r="D37" s="24" t="s">
        <v>585</v>
      </c>
      <c r="E37" s="24" t="s">
        <v>586</v>
      </c>
      <c r="F37" s="24" t="s">
        <v>587</v>
      </c>
      <c r="G37" s="24"/>
      <c r="H37" s="24"/>
      <c r="I37" s="24"/>
      <c r="K37"/>
      <c r="L37"/>
    </row>
    <row r="38" spans="1:12" ht="43.2" x14ac:dyDescent="0.3">
      <c r="A38" s="23" t="s">
        <v>526</v>
      </c>
      <c r="B38" s="24" t="s">
        <v>452</v>
      </c>
      <c r="C38" s="24" t="s">
        <v>588</v>
      </c>
      <c r="D38" s="24" t="s">
        <v>589</v>
      </c>
      <c r="E38" s="24" t="s">
        <v>454</v>
      </c>
      <c r="F38" s="24" t="s">
        <v>590</v>
      </c>
      <c r="G38" s="24"/>
      <c r="H38" s="24"/>
      <c r="I38" s="24"/>
      <c r="K38"/>
      <c r="L38"/>
    </row>
    <row r="39" spans="1:12" ht="57.6" x14ac:dyDescent="0.3">
      <c r="A39" s="23" t="s">
        <v>526</v>
      </c>
      <c r="B39" s="24" t="s">
        <v>517</v>
      </c>
      <c r="C39" s="24" t="s">
        <v>518</v>
      </c>
      <c r="D39" s="24" t="s">
        <v>591</v>
      </c>
      <c r="E39" s="24" t="s">
        <v>519</v>
      </c>
      <c r="F39" s="24" t="s">
        <v>592</v>
      </c>
      <c r="G39" s="24"/>
      <c r="H39" s="24"/>
      <c r="I39" s="24"/>
      <c r="K39"/>
      <c r="L39"/>
    </row>
    <row r="40" spans="1:12" ht="72" x14ac:dyDescent="0.3">
      <c r="A40" s="23" t="s">
        <v>526</v>
      </c>
      <c r="B40" s="24" t="s">
        <v>522</v>
      </c>
      <c r="C40" s="24" t="s">
        <v>523</v>
      </c>
      <c r="D40" s="24" t="s">
        <v>524</v>
      </c>
      <c r="E40" s="24" t="s">
        <v>593</v>
      </c>
      <c r="F40" s="24"/>
      <c r="G40" s="24"/>
      <c r="H40" s="24"/>
      <c r="I40" s="24"/>
      <c r="K40"/>
      <c r="L40"/>
    </row>
    <row r="41" spans="1:12" ht="43.2" x14ac:dyDescent="0.3">
      <c r="A41" s="25" t="s">
        <v>594</v>
      </c>
      <c r="B41" s="26" t="s">
        <v>595</v>
      </c>
      <c r="C41" s="27" t="s">
        <v>596</v>
      </c>
      <c r="D41" s="27" t="s">
        <v>597</v>
      </c>
      <c r="E41" s="27" t="s">
        <v>598</v>
      </c>
      <c r="F41" s="27"/>
      <c r="G41" s="27"/>
      <c r="H41" s="27"/>
      <c r="I41" s="27"/>
      <c r="K41"/>
      <c r="L41"/>
    </row>
    <row r="42" spans="1:12" ht="43.2" x14ac:dyDescent="0.3">
      <c r="A42" s="25" t="s">
        <v>594</v>
      </c>
      <c r="B42" s="26" t="s">
        <v>599</v>
      </c>
      <c r="C42" s="27" t="s">
        <v>596</v>
      </c>
      <c r="D42" s="27" t="s">
        <v>597</v>
      </c>
      <c r="E42" s="27" t="s">
        <v>598</v>
      </c>
      <c r="F42" s="27" t="s">
        <v>600</v>
      </c>
      <c r="G42" s="27"/>
      <c r="H42" s="27"/>
      <c r="I42" s="27"/>
      <c r="K42"/>
      <c r="L42"/>
    </row>
    <row r="43" spans="1:12" ht="57.6" x14ac:dyDescent="0.3">
      <c r="A43" s="25" t="s">
        <v>594</v>
      </c>
      <c r="B43" s="26" t="s">
        <v>601</v>
      </c>
      <c r="C43" s="27" t="s">
        <v>602</v>
      </c>
      <c r="D43" s="27" t="s">
        <v>603</v>
      </c>
      <c r="E43" s="27" t="s">
        <v>604</v>
      </c>
      <c r="F43" s="27"/>
      <c r="G43" s="27"/>
      <c r="H43" s="27"/>
      <c r="I43" s="27"/>
      <c r="K43"/>
      <c r="L43"/>
    </row>
    <row r="44" spans="1:12" ht="43.2" x14ac:dyDescent="0.3">
      <c r="A44" s="25" t="s">
        <v>594</v>
      </c>
      <c r="B44" s="26" t="s">
        <v>512</v>
      </c>
      <c r="C44" s="27" t="s">
        <v>513</v>
      </c>
      <c r="D44" s="27" t="s">
        <v>514</v>
      </c>
      <c r="E44" s="27" t="s">
        <v>515</v>
      </c>
      <c r="F44" s="27" t="s">
        <v>516</v>
      </c>
      <c r="G44" s="27"/>
      <c r="H44" s="27"/>
      <c r="I44" s="27"/>
      <c r="K44"/>
      <c r="L44"/>
    </row>
    <row r="45" spans="1:12" ht="28.8" x14ac:dyDescent="0.3">
      <c r="A45" s="25" t="s">
        <v>594</v>
      </c>
      <c r="B45" s="26" t="s">
        <v>507</v>
      </c>
      <c r="C45" s="27" t="s">
        <v>508</v>
      </c>
      <c r="D45" s="27" t="s">
        <v>510</v>
      </c>
      <c r="E45" s="27" t="s">
        <v>509</v>
      </c>
      <c r="F45" s="27" t="s">
        <v>511</v>
      </c>
      <c r="G45" s="27"/>
      <c r="H45" s="27"/>
      <c r="I45" s="27"/>
      <c r="K45"/>
      <c r="L45"/>
    </row>
    <row r="46" spans="1:12" ht="57.6" x14ac:dyDescent="0.3">
      <c r="A46" s="25" t="s">
        <v>594</v>
      </c>
      <c r="B46" s="26" t="s">
        <v>517</v>
      </c>
      <c r="C46" s="27" t="s">
        <v>605</v>
      </c>
      <c r="D46" s="27" t="s">
        <v>591</v>
      </c>
      <c r="E46" s="27" t="s">
        <v>519</v>
      </c>
      <c r="F46" s="27" t="s">
        <v>592</v>
      </c>
      <c r="G46" s="27"/>
      <c r="H46" s="27"/>
      <c r="I46" s="27"/>
      <c r="K46"/>
      <c r="L46"/>
    </row>
    <row r="47" spans="1:12" ht="43.2" x14ac:dyDescent="0.3">
      <c r="A47" s="25" t="s">
        <v>594</v>
      </c>
      <c r="B47" s="26" t="s">
        <v>460</v>
      </c>
      <c r="C47" s="27" t="s">
        <v>461</v>
      </c>
      <c r="D47" s="27" t="s">
        <v>462</v>
      </c>
      <c r="E47" s="27" t="s">
        <v>586</v>
      </c>
      <c r="F47" s="27" t="s">
        <v>587</v>
      </c>
      <c r="G47" s="27"/>
      <c r="H47" s="27"/>
      <c r="I47" s="27"/>
      <c r="K47"/>
      <c r="L47"/>
    </row>
    <row r="48" spans="1:12" ht="43.2" x14ac:dyDescent="0.3">
      <c r="A48" s="25" t="s">
        <v>594</v>
      </c>
      <c r="B48" s="26" t="s">
        <v>606</v>
      </c>
      <c r="C48" s="27" t="s">
        <v>607</v>
      </c>
      <c r="D48" s="27" t="s">
        <v>608</v>
      </c>
      <c r="E48" s="27" t="s">
        <v>609</v>
      </c>
      <c r="F48" s="27" t="s">
        <v>610</v>
      </c>
      <c r="G48" s="27"/>
      <c r="H48" s="27"/>
      <c r="I48" s="27"/>
      <c r="K48"/>
      <c r="L48"/>
    </row>
    <row r="49" spans="1:12" ht="57.6" x14ac:dyDescent="0.3">
      <c r="A49" s="25" t="s">
        <v>594</v>
      </c>
      <c r="B49" s="26" t="s">
        <v>611</v>
      </c>
      <c r="C49" s="27" t="s">
        <v>612</v>
      </c>
      <c r="D49" s="27" t="s">
        <v>613</v>
      </c>
      <c r="E49" s="27" t="s">
        <v>614</v>
      </c>
      <c r="F49" s="27" t="s">
        <v>615</v>
      </c>
      <c r="G49" s="27"/>
      <c r="H49" s="27"/>
      <c r="I49" s="27"/>
      <c r="K49"/>
      <c r="L49"/>
    </row>
    <row r="50" spans="1:12" ht="28.8" x14ac:dyDescent="0.3">
      <c r="A50" s="25" t="s">
        <v>594</v>
      </c>
      <c r="B50" s="26" t="s">
        <v>616</v>
      </c>
      <c r="C50" s="27" t="s">
        <v>617</v>
      </c>
      <c r="D50" s="27" t="s">
        <v>618</v>
      </c>
      <c r="E50" s="27" t="s">
        <v>619</v>
      </c>
      <c r="F50" s="27" t="s">
        <v>620</v>
      </c>
      <c r="G50" s="27"/>
      <c r="H50" s="27"/>
      <c r="I50" s="27"/>
      <c r="K50"/>
      <c r="L50"/>
    </row>
    <row r="51" spans="1:12" ht="86.4" x14ac:dyDescent="0.3">
      <c r="A51" s="25" t="s">
        <v>594</v>
      </c>
      <c r="B51" s="26" t="s">
        <v>621</v>
      </c>
      <c r="C51" s="27" t="s">
        <v>622</v>
      </c>
      <c r="D51" s="27" t="s">
        <v>623</v>
      </c>
      <c r="E51" s="27" t="s">
        <v>624</v>
      </c>
      <c r="F51" s="27" t="s">
        <v>625</v>
      </c>
      <c r="G51" s="27"/>
      <c r="H51" s="27"/>
      <c r="I51" s="27"/>
      <c r="K51"/>
      <c r="L51"/>
    </row>
    <row r="52" spans="1:12" ht="86.4" x14ac:dyDescent="0.3">
      <c r="A52" s="25" t="s">
        <v>594</v>
      </c>
      <c r="B52" s="26" t="s">
        <v>571</v>
      </c>
      <c r="C52" s="27" t="s">
        <v>374</v>
      </c>
      <c r="D52" s="27" t="s">
        <v>572</v>
      </c>
      <c r="E52" s="27" t="s">
        <v>573</v>
      </c>
      <c r="F52" s="27" t="s">
        <v>626</v>
      </c>
      <c r="G52" s="27"/>
      <c r="H52" s="27"/>
      <c r="I52" s="27"/>
      <c r="K52"/>
      <c r="L52"/>
    </row>
    <row r="53" spans="1:12" ht="43.2" x14ac:dyDescent="0.3">
      <c r="A53" s="25" t="s">
        <v>594</v>
      </c>
      <c r="B53" s="26" t="s">
        <v>627</v>
      </c>
      <c r="C53" s="27" t="s">
        <v>628</v>
      </c>
      <c r="D53" s="27" t="s">
        <v>629</v>
      </c>
      <c r="E53" s="27" t="s">
        <v>630</v>
      </c>
      <c r="F53" s="27" t="s">
        <v>631</v>
      </c>
      <c r="G53" s="27"/>
      <c r="H53" s="27"/>
      <c r="I53" s="27"/>
      <c r="K53"/>
      <c r="L53"/>
    </row>
    <row r="54" spans="1:12" ht="43.2" x14ac:dyDescent="0.3">
      <c r="A54" s="60" t="s">
        <v>632</v>
      </c>
      <c r="B54" s="61" t="s">
        <v>633</v>
      </c>
      <c r="C54" s="62" t="s">
        <v>634</v>
      </c>
      <c r="D54" s="62" t="s">
        <v>635</v>
      </c>
      <c r="E54" s="62" t="s">
        <v>636</v>
      </c>
      <c r="F54" s="62" t="s">
        <v>637</v>
      </c>
      <c r="G54" s="52"/>
      <c r="H54" s="52"/>
      <c r="I54" s="52"/>
    </row>
    <row r="55" spans="1:12" ht="28.8" x14ac:dyDescent="0.3">
      <c r="A55" s="60" t="s">
        <v>632</v>
      </c>
      <c r="B55" s="61" t="s">
        <v>638</v>
      </c>
      <c r="C55" s="62" t="s">
        <v>634</v>
      </c>
      <c r="D55" s="62" t="s">
        <v>639</v>
      </c>
      <c r="E55" s="62" t="s">
        <v>640</v>
      </c>
      <c r="F55" s="62" t="s">
        <v>637</v>
      </c>
      <c r="G55" s="52"/>
      <c r="H55" s="52"/>
      <c r="I55" s="52"/>
    </row>
    <row r="56" spans="1:12" ht="28.8" x14ac:dyDescent="0.3">
      <c r="A56" s="60" t="s">
        <v>632</v>
      </c>
      <c r="B56" s="61" t="s">
        <v>641</v>
      </c>
      <c r="C56" s="62" t="s">
        <v>634</v>
      </c>
      <c r="D56" s="62" t="s">
        <v>642</v>
      </c>
      <c r="E56" s="62" t="s">
        <v>643</v>
      </c>
      <c r="F56" s="62" t="s">
        <v>637</v>
      </c>
      <c r="G56" s="52"/>
      <c r="H56" s="52"/>
      <c r="I56" s="52"/>
    </row>
    <row r="57" spans="1:12" ht="28.8" x14ac:dyDescent="0.3">
      <c r="A57" s="60" t="s">
        <v>632</v>
      </c>
      <c r="B57" s="61" t="s">
        <v>644</v>
      </c>
      <c r="C57" s="62" t="s">
        <v>634</v>
      </c>
      <c r="D57" s="62" t="s">
        <v>645</v>
      </c>
      <c r="E57" s="62" t="s">
        <v>643</v>
      </c>
      <c r="F57" s="62" t="s">
        <v>637</v>
      </c>
      <c r="G57" s="52"/>
      <c r="H57" s="52"/>
      <c r="I57" s="52"/>
    </row>
    <row r="58" spans="1:12" ht="28.8" x14ac:dyDescent="0.3">
      <c r="A58" s="60" t="s">
        <v>632</v>
      </c>
      <c r="B58" s="61" t="s">
        <v>646</v>
      </c>
      <c r="C58" s="62" t="s">
        <v>634</v>
      </c>
      <c r="D58" s="62" t="s">
        <v>647</v>
      </c>
      <c r="E58" s="62" t="s">
        <v>648</v>
      </c>
      <c r="F58" s="62" t="s">
        <v>637</v>
      </c>
      <c r="G58" s="52"/>
      <c r="H58" s="52"/>
      <c r="I58" s="52"/>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25E22-0257-47BD-B823-A69647CD5B3D}">
  <dimension ref="A1:E22"/>
  <sheetViews>
    <sheetView workbookViewId="0">
      <selection activeCell="C12" sqref="C12"/>
    </sheetView>
  </sheetViews>
  <sheetFormatPr defaultRowHeight="14.4" x14ac:dyDescent="0.3"/>
  <cols>
    <col min="1" max="1" width="25" customWidth="1"/>
    <col min="2" max="2" width="74.5546875" customWidth="1"/>
    <col min="3" max="3" width="62.6640625" customWidth="1"/>
    <col min="4" max="6" width="25.6640625" customWidth="1"/>
  </cols>
  <sheetData>
    <row r="1" spans="1:5" x14ac:dyDescent="0.3">
      <c r="A1" s="63" t="s">
        <v>649</v>
      </c>
      <c r="B1" s="63" t="s">
        <v>650</v>
      </c>
      <c r="C1" s="63" t="s">
        <v>651</v>
      </c>
      <c r="D1" s="63" t="s">
        <v>430</v>
      </c>
      <c r="E1" s="63" t="s">
        <v>428</v>
      </c>
    </row>
    <row r="2" spans="1:5" ht="57.6" x14ac:dyDescent="0.3">
      <c r="A2" s="3" t="s">
        <v>32</v>
      </c>
      <c r="B2" s="3" t="s">
        <v>652</v>
      </c>
      <c r="C2" s="3" t="s">
        <v>653</v>
      </c>
      <c r="D2" s="3" t="s">
        <v>654</v>
      </c>
      <c r="E2" s="3" t="s">
        <v>655</v>
      </c>
    </row>
    <row r="3" spans="1:5" x14ac:dyDescent="0.3">
      <c r="A3" s="3"/>
      <c r="B3" s="3"/>
      <c r="C3" s="3"/>
    </row>
    <row r="4" spans="1:5" x14ac:dyDescent="0.3">
      <c r="A4" s="3"/>
      <c r="B4" s="3"/>
      <c r="C4" s="3"/>
    </row>
    <row r="5" spans="1:5" x14ac:dyDescent="0.3">
      <c r="A5" s="3"/>
      <c r="B5" s="3"/>
      <c r="C5" s="3"/>
    </row>
    <row r="6" spans="1:5" x14ac:dyDescent="0.3">
      <c r="A6" s="3"/>
      <c r="B6" s="3"/>
      <c r="C6" s="3"/>
    </row>
    <row r="7" spans="1:5" x14ac:dyDescent="0.3">
      <c r="A7" s="3"/>
      <c r="B7" s="3"/>
      <c r="C7" s="3"/>
    </row>
    <row r="8" spans="1:5" x14ac:dyDescent="0.3">
      <c r="A8" s="3"/>
      <c r="B8" s="3"/>
      <c r="C8" s="3"/>
    </row>
    <row r="9" spans="1:5" x14ac:dyDescent="0.3">
      <c r="A9" s="3"/>
      <c r="B9" s="3"/>
      <c r="C9" s="3"/>
    </row>
    <row r="10" spans="1:5" x14ac:dyDescent="0.3">
      <c r="A10" s="3"/>
      <c r="B10" s="3"/>
      <c r="C10" s="3"/>
    </row>
    <row r="11" spans="1:5" x14ac:dyDescent="0.3">
      <c r="A11" s="3"/>
      <c r="B11" s="3"/>
      <c r="C11" s="3"/>
    </row>
    <row r="12" spans="1:5" x14ac:dyDescent="0.3">
      <c r="A12" s="3"/>
      <c r="B12" s="3"/>
      <c r="C12" s="3"/>
    </row>
    <row r="13" spans="1:5" x14ac:dyDescent="0.3">
      <c r="A13" s="3"/>
      <c r="B13" s="3"/>
      <c r="C13" s="3"/>
    </row>
    <row r="14" spans="1:5" x14ac:dyDescent="0.3">
      <c r="A14" s="3"/>
      <c r="B14" s="3"/>
      <c r="C14" s="3"/>
    </row>
    <row r="15" spans="1:5" x14ac:dyDescent="0.3">
      <c r="A15" s="3"/>
      <c r="B15" s="3"/>
      <c r="C15" s="3"/>
    </row>
    <row r="16" spans="1:5" x14ac:dyDescent="0.3">
      <c r="A16" s="3"/>
      <c r="B16" s="3"/>
      <c r="C16" s="3"/>
    </row>
    <row r="17" spans="1:3" x14ac:dyDescent="0.3">
      <c r="A17" s="3"/>
      <c r="B17" s="3"/>
      <c r="C17" s="3"/>
    </row>
    <row r="18" spans="1:3" x14ac:dyDescent="0.3">
      <c r="A18" s="3"/>
      <c r="B18" s="3"/>
      <c r="C18" s="3"/>
    </row>
    <row r="19" spans="1:3" x14ac:dyDescent="0.3">
      <c r="A19" s="3"/>
      <c r="B19" s="3"/>
      <c r="C19" s="3"/>
    </row>
    <row r="20" spans="1:3" x14ac:dyDescent="0.3">
      <c r="A20" s="3"/>
      <c r="B20" s="3"/>
      <c r="C20" s="3"/>
    </row>
    <row r="21" spans="1:3" x14ac:dyDescent="0.3">
      <c r="A21" s="3"/>
      <c r="B21" s="3"/>
      <c r="C21" s="3"/>
    </row>
    <row r="22" spans="1:3" x14ac:dyDescent="0.3">
      <c r="A22" s="3"/>
      <c r="B22" s="3"/>
      <c r="C22" s="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d57cf2f-e6dd-4042-9a9c-eee10effaef3">
      <Terms xmlns="http://schemas.microsoft.com/office/infopath/2007/PartnerControls"/>
    </lcf76f155ced4ddcb4097134ff3c332f>
    <TaxCatchAll xmlns="303ccdc8-2bb0-442a-8f17-3fc613e49e50" xsi:nil="true"/>
    <_ip_UnifiedCompliancePolicyUIAction xmlns="http://schemas.microsoft.com/sharepoint/v3" xsi:nil="true"/>
    <_ip_UnifiedCompliancePolicyProperties xmlns="http://schemas.microsoft.com/sharepoint/v3" xsi:nil="true"/>
    <Comment xmlns="2d57cf2f-e6dd-4042-9a9c-eee10effaef3" xsi:nil="true"/>
    <SharedWithUsers xmlns="303ccdc8-2bb0-442a-8f17-3fc613e49e50">
      <UserInfo>
        <DisplayName>Gangadhareswara Rao Malapati</DisplayName>
        <AccountId>570</AccountId>
        <AccountType/>
      </UserInfo>
      <UserInfo>
        <DisplayName>Praveen Moothakurambu (OSV)</DisplayName>
        <AccountId>352</AccountId>
        <AccountType/>
      </UserInfo>
      <UserInfo>
        <DisplayName>Anshul Bhatnagar</DisplayName>
        <AccountId>86</AccountId>
        <AccountType/>
      </UserInfo>
    </SharedWithUsers>
    <Status xmlns="2d57cf2f-e6dd-4042-9a9c-eee10effaef3" xsi:nil="true"/>
    <DemandType xmlns="2d57cf2f-e6dd-4042-9a9c-eee10effaef3" xsi:nil="true"/>
    <ScrumTeam xmlns="2d57cf2f-e6dd-4042-9a9c-eee10effaef3" xsi:nil="true"/>
    <Requester xmlns="2d57cf2f-e6dd-4042-9a9c-eee10effaef3">
      <UserInfo>
        <DisplayName/>
        <AccountId xsi:nil="true"/>
        <AccountType/>
      </UserInfo>
    </Requester>
    <DevelopmentStatus xmlns="2d57cf2f-e6dd-4042-9a9c-eee10effaef3" xsi:nil="true"/>
    <Comments xmlns="2d57cf2f-e6dd-4042-9a9c-eee10effaef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CCFE244AD534D4599F39EB0A219CAF3" ma:contentTypeVersion="34" ma:contentTypeDescription="Create a new document." ma:contentTypeScope="" ma:versionID="fa7fe378929fbc71b7809bcf674e7428">
  <xsd:schema xmlns:xsd="http://www.w3.org/2001/XMLSchema" xmlns:xs="http://www.w3.org/2001/XMLSchema" xmlns:p="http://schemas.microsoft.com/office/2006/metadata/properties" xmlns:ns1="http://schemas.microsoft.com/sharepoint/v3" xmlns:ns2="2d57cf2f-e6dd-4042-9a9c-eee10effaef3" xmlns:ns3="303ccdc8-2bb0-442a-8f17-3fc613e49e50" targetNamespace="http://schemas.microsoft.com/office/2006/metadata/properties" ma:root="true" ma:fieldsID="40226d29a5e921630bcdf556e0dfe383" ns1:_="" ns2:_="" ns3:_="">
    <xsd:import namespace="http://schemas.microsoft.com/sharepoint/v3"/>
    <xsd:import namespace="2d57cf2f-e6dd-4042-9a9c-eee10effaef3"/>
    <xsd:import namespace="303ccdc8-2bb0-442a-8f17-3fc613e49e50"/>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LengthInSeconds" minOccurs="0"/>
                <xsd:element ref="ns2:MediaServiceLocation" minOccurs="0"/>
                <xsd:element ref="ns2:MediaServiceSearchProperties" minOccurs="0"/>
                <xsd:element ref="ns1:_ip_UnifiedCompliancePolicyProperties" minOccurs="0"/>
                <xsd:element ref="ns1:_ip_UnifiedCompliancePolicyUIAction" minOccurs="0"/>
                <xsd:element ref="ns2:Comment" minOccurs="0"/>
                <xsd:element ref="ns2:ScrumTeam" minOccurs="0"/>
                <xsd:element ref="ns2:Status" minOccurs="0"/>
                <xsd:element ref="ns2:DemandType" minOccurs="0"/>
                <xsd:element ref="ns2:Requester" minOccurs="0"/>
                <xsd:element ref="ns2:Comments" minOccurs="0"/>
                <xsd:element ref="ns2:DevelopmentStatu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6" nillable="true" ma:displayName="Unified Compliance Policy Properties" ma:hidden="true" ma:internalName="_ip_UnifiedCompliancePolicyProperties">
      <xsd:simpleType>
        <xsd:restriction base="dms:Note"/>
      </xsd:simpleType>
    </xsd:element>
    <xsd:element name="_ip_UnifiedCompliancePolicyUIAction" ma:index="2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d57cf2f-e6dd-4042-9a9c-eee10effaef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f2ce4d85-92b3-4db5-bc8f-b60fb9116dc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Location" ma:index="24" nillable="true" ma:displayName="Loca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Comment" ma:index="28" nillable="true" ma:displayName="Comment" ma:format="Dropdown" ma:internalName="Comment">
      <xsd:simpleType>
        <xsd:restriction base="dms:Text">
          <xsd:maxLength value="255"/>
        </xsd:restriction>
      </xsd:simpleType>
    </xsd:element>
    <xsd:element name="ScrumTeam" ma:index="29" nillable="true" ma:displayName="Scrum Team" ma:format="Dropdown" ma:internalName="ScrumTeam">
      <xsd:simpleType>
        <xsd:restriction base="dms:Text">
          <xsd:maxLength value="255"/>
        </xsd:restriction>
      </xsd:simpleType>
    </xsd:element>
    <xsd:element name="Status" ma:index="30" nillable="true" ma:displayName="Status " ma:format="Dropdown" ma:internalName="Status">
      <xsd:simpleType>
        <xsd:restriction base="dms:Choice">
          <xsd:enumeration value="New"/>
          <xsd:enumeration value="Under Review"/>
          <xsd:enumeration value="Approved"/>
          <xsd:enumeration value="Denied"/>
          <xsd:enumeration value="On Hold"/>
        </xsd:restriction>
      </xsd:simpleType>
    </xsd:element>
    <xsd:element name="DemandType" ma:index="31" nillable="true" ma:displayName="Demand Type" ma:format="Dropdown" ma:internalName="DemandType">
      <xsd:complexType>
        <xsd:complexContent>
          <xsd:extension base="dms:MultiChoice">
            <xsd:sequence>
              <xsd:element name="Value" maxOccurs="unbounded" minOccurs="0" nillable="true">
                <xsd:simpleType>
                  <xsd:restriction base="dms:Choice">
                    <xsd:enumeration value="Master Table"/>
                    <xsd:enumeration value="Country Table"/>
                    <xsd:enumeration value="Business Rule"/>
                    <xsd:enumeration value="IT Config Table"/>
                    <xsd:enumeration value="EDI Config Table"/>
                  </xsd:restriction>
                </xsd:simpleType>
              </xsd:element>
            </xsd:sequence>
          </xsd:extension>
        </xsd:complexContent>
      </xsd:complexType>
    </xsd:element>
    <xsd:element name="Requester" ma:index="32" nillable="true" ma:displayName="Requester" ma:format="Dropdown" ma:list="UserInfo" ma:SharePointGroup="0" ma:internalName="Request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omments" ma:index="33" nillable="true" ma:displayName="Comments" ma:format="Dropdown" ma:internalName="Comments">
      <xsd:simpleType>
        <xsd:restriction base="dms:Note">
          <xsd:maxLength value="255"/>
        </xsd:restriction>
      </xsd:simpleType>
    </xsd:element>
    <xsd:element name="DevelopmentStatus" ma:index="34" nillable="true" ma:displayName="Development Status" ma:format="Dropdown" ma:internalName="DevelopmentStatus">
      <xsd:simpleType>
        <xsd:restriction base="dms:Choice">
          <xsd:enumeration value="Not started"/>
          <xsd:enumeration value="In Progress"/>
          <xsd:enumeration value="Completed "/>
        </xsd:restriction>
      </xsd:simpleType>
    </xsd:element>
    <xsd:element name="MediaServiceBillingMetadata" ma:index="3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03ccdc8-2bb0-442a-8f17-3fc613e49e50"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838578e0-f329-4393-a855-5cb7849370ab}" ma:internalName="TaxCatchAll" ma:showField="CatchAllData" ma:web="303ccdc8-2bb0-442a-8f17-3fc613e49e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25B2EC5-F0EE-42C0-8018-6843D76D24A8}">
  <ds:schemaRefs>
    <ds:schemaRef ds:uri="http://schemas.microsoft.com/office/2006/metadata/properties"/>
    <ds:schemaRef ds:uri="http://schemas.microsoft.com/office/infopath/2007/PartnerControls"/>
    <ds:schemaRef ds:uri="2d57cf2f-e6dd-4042-9a9c-eee10effaef3"/>
    <ds:schemaRef ds:uri="303ccdc8-2bb0-442a-8f17-3fc613e49e50"/>
    <ds:schemaRef ds:uri="http://schemas.microsoft.com/sharepoint/v3"/>
  </ds:schemaRefs>
</ds:datastoreItem>
</file>

<file path=customXml/itemProps2.xml><?xml version="1.0" encoding="utf-8"?>
<ds:datastoreItem xmlns:ds="http://schemas.openxmlformats.org/officeDocument/2006/customXml" ds:itemID="{4B06D56C-F286-48B9-977C-EBBAE78BEC82}">
  <ds:schemaRefs>
    <ds:schemaRef ds:uri="http://schemas.microsoft.com/sharepoint/v3/contenttype/forms"/>
  </ds:schemaRefs>
</ds:datastoreItem>
</file>

<file path=customXml/itemProps3.xml><?xml version="1.0" encoding="utf-8"?>
<ds:datastoreItem xmlns:ds="http://schemas.openxmlformats.org/officeDocument/2006/customXml" ds:itemID="{F07D8F9F-6BEB-46C9-AAC6-DF349EA451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d57cf2f-e6dd-4042-9a9c-eee10effaef3"/>
    <ds:schemaRef ds:uri="303ccdc8-2bb0-442a-8f17-3fc613e49e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Events Matrix</vt:lpstr>
      <vt:lpstr>EventAcceptanceRules.drl.xls</vt:lpstr>
      <vt:lpstr>Ownership and Timeline</vt:lpstr>
      <vt:lpstr>CurrentVolume</vt:lpstr>
      <vt:lpstr>Transaction_Volumetric</vt:lpstr>
      <vt:lpstr>Domain Event Rules</vt:lpstr>
      <vt:lpstr>VolSummary</vt:lpstr>
      <vt:lpstr>SEP_AsIs_Process</vt:lpstr>
      <vt:lpstr>Handling_SEP_Events</vt:lpstr>
      <vt:lpstr>ScanCodes</vt:lpstr>
      <vt:lpstr>Filtering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Kiranlal Purushothaman</dc:creator>
  <cp:keywords>HCLClassification=Internal</cp:keywords>
  <dc:description/>
  <cp:lastModifiedBy>Rajkumar Devakumar</cp:lastModifiedBy>
  <cp:revision/>
  <dcterms:created xsi:type="dcterms:W3CDTF">2023-11-17T07:05:09Z</dcterms:created>
  <dcterms:modified xsi:type="dcterms:W3CDTF">2025-11-21T08:29:40Z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a549d3b4-04e8-4201-aba2-1a9f9a273e7c</vt:lpwstr>
  </property>
  <property fmtid="{D5CDD505-2E9C-101B-9397-08002B2CF9AE}" pid="3" name="HCLClassD6">
    <vt:lpwstr>False</vt:lpwstr>
  </property>
  <property fmtid="{D5CDD505-2E9C-101B-9397-08002B2CF9AE}" pid="4" name="ContentTypeId">
    <vt:lpwstr>0x010100CCCFE244AD534D4599F39EB0A219CAF3</vt:lpwstr>
  </property>
  <property fmtid="{D5CDD505-2E9C-101B-9397-08002B2CF9AE}" pid="5" name="MediaServiceImageTags">
    <vt:lpwstr/>
  </property>
  <property fmtid="{D5CDD505-2E9C-101B-9397-08002B2CF9AE}" pid="6" name="HCLClassification">
    <vt:lpwstr>HCL_Cla5s_1nt3rnal</vt:lpwstr>
  </property>
  <property fmtid="{D5CDD505-2E9C-101B-9397-08002B2CF9AE}" pid="7" name="BusinessSignOff">
    <vt:bool>false</vt:bool>
  </property>
  <property fmtid="{D5CDD505-2E9C-101B-9397-08002B2CF9AE}" pid="8" name="ARB2Complete?">
    <vt:bool>true</vt:bool>
  </property>
  <property fmtid="{D5CDD505-2E9C-101B-9397-08002B2CF9AE}" pid="9" name="ARB1Complete?">
    <vt:bool>true</vt:bool>
  </property>
</Properties>
</file>